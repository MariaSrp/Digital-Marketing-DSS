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77FFB4D7-46E0-4043-A963-A014336F2E94}" xr6:coauthVersionLast="47" xr6:coauthVersionMax="47" xr10:uidLastSave="{00000000-0000-0000-0000-000000000000}"/>
  <bookViews>
    <workbookView xWindow="1905" yWindow="1905" windowWidth="20925" windowHeight="13170" xr2:uid="{6E011D86-EC0A-47ED-B372-53574A86C136}"/>
  </bookViews>
  <sheets>
    <sheet name="Marketing" sheetId="5" r:id="rId1"/>
  </sheets>
  <definedNames>
    <definedName name="ExternalData_1" localSheetId="0" hidden="1">Marketing!$A$1:$K$309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L5" i="5"/>
  <c r="L4" i="5"/>
  <c r="L3" i="5"/>
  <c r="L2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FE803-D92A-4462-8211-6CAF4EEC74BE}" keepAlive="1" name="Query - digital_marketing_campaign_dataset" description="Connection to the 'digital_marketing_campaign_dataset' query in the workbook." type="5" refreshedVersion="8" background="1" saveData="1">
    <dbPr connection="Provider=Microsoft.Mashup.OleDb.1;Data Source=$Workbook$;Location=digital_marketing_campaign_dataset;Extended Properties=&quot;&quot;" command="SELECT * FROM [digital_marketing_campaign_dataset]"/>
  </connection>
  <connection id="2" xr16:uid="{DD9C3399-0D76-4196-9B3B-0BFC4368420F}" keepAlive="1" name="Query - digital_marketing_campaigns_smes" description="Connection to the 'digital_marketing_campaigns_smes' query in the workbook." type="5" refreshedVersion="8" background="1" saveData="1">
    <dbPr connection="Provider=Microsoft.Mashup.OleDb.1;Data Source=$Workbook$;Location=digital_marketing_campaigns_smes;Extended Properties=&quot;&quot;" command="SELECT * FROM [digital_marketing_campaigns_smes]"/>
  </connection>
  <connection id="3" xr16:uid="{5CB3550A-B52B-40C7-B768-0551A7938EFE}" keepAlive="1" name="Query - Marketing" description="Connection to the 'Marketing' query in the workbook." type="5" refreshedVersion="8" background="1" saveData="1">
    <dbPr connection="Provider=Microsoft.Mashup.OleDb.1;Data Source=$Workbook$;Location=Marketing;Extended Properties=&quot;&quot;" command="SELECT * FROM [Marketing]"/>
  </connection>
</connections>
</file>

<file path=xl/sharedStrings.xml><?xml version="1.0" encoding="utf-8"?>
<sst xmlns="http://schemas.openxmlformats.org/spreadsheetml/2006/main" count="937" uniqueCount="56">
  <si>
    <t>campaign_id</t>
  </si>
  <si>
    <t>influencer</t>
  </si>
  <si>
    <t>id</t>
  </si>
  <si>
    <t>c_date</t>
  </si>
  <si>
    <t>campaign_name</t>
  </si>
  <si>
    <t>category</t>
  </si>
  <si>
    <t>impressions</t>
  </si>
  <si>
    <t>mark_spent</t>
  </si>
  <si>
    <t>clicks</t>
  </si>
  <si>
    <t>leads</t>
  </si>
  <si>
    <t>orders</t>
  </si>
  <si>
    <t>revenue</t>
  </si>
  <si>
    <t>2/1/2021</t>
  </si>
  <si>
    <t>facebook_tier1</t>
  </si>
  <si>
    <t>social</t>
  </si>
  <si>
    <t>facebOOK_tier2</t>
  </si>
  <si>
    <t>google_hot</t>
  </si>
  <si>
    <t>search</t>
  </si>
  <si>
    <t>google_wide</t>
  </si>
  <si>
    <t>youtube_blogger</t>
  </si>
  <si>
    <t>instagram_tier1</t>
  </si>
  <si>
    <t>instagram_tier2</t>
  </si>
  <si>
    <t>facebook_retargeting</t>
  </si>
  <si>
    <t>facebook_lal</t>
  </si>
  <si>
    <t>instagram_blogger</t>
  </si>
  <si>
    <t>banner_partner</t>
  </si>
  <si>
    <t>media</t>
  </si>
  <si>
    <t>2/2/2021</t>
  </si>
  <si>
    <t>2/3/2021</t>
  </si>
  <si>
    <t>2/4/2021</t>
  </si>
  <si>
    <t>2/5/2021</t>
  </si>
  <si>
    <t>2/6/2021</t>
  </si>
  <si>
    <t>2/7/2021</t>
  </si>
  <si>
    <t>2/8/2021</t>
  </si>
  <si>
    <t>2/9/2021</t>
  </si>
  <si>
    <t>2/10/2021</t>
  </si>
  <si>
    <t>2/11/2021</t>
  </si>
  <si>
    <t>2/12/2021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</si>
  <si>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</si>
  <si>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</si>
  <si>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</si>
  <si>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</si>
  <si>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</si>
  <si>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</si>
  <si>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</si>
  <si>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</si>
  <si>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</si>
  <si>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</si>
  <si>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</si>
  <si>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</si>
  <si>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</si>
  <si>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</si>
  <si>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</si>
  <si>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</si>
  <si>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Return on Ad Spend (ROAS)</t>
  </si>
  <si>
    <t>Cost Per Action (CPA)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</si>
</sst>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267BE5-4C05-46ED-A97C-1560907A9398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id" tableColumnId="1"/>
      <queryTableField id="2" name="c_date" tableColumnId="2"/>
      <queryTableField id="3" name="campaign_name" tableColumnId="3"/>
      <queryTableField id="4" name="category" tableColumnId="4"/>
      <queryTableField id="5" name="campaign_id" tableColumnId="5"/>
      <queryTableField id="6" name="impressions" tableColumnId="6"/>
      <queryTableField id="7" name="mark_spent" tableColumnId="7"/>
      <queryTableField id="8" name="clicks" tableColumnId="8"/>
      <queryTableField id="9" name="leads" tableColumnId="9"/>
      <queryTableField id="10" name="orders" tableColumnId="10"/>
      <queryTableField id="11" name="revenue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48D59D-8F53-445F-BC12-4437A7A54101}" name="Marketing" displayName="Marketing" ref="A1:M309" tableType="queryTable" totalsRowShown="0">
  <autoFilter ref="A1:M309" xr:uid="{CA48D59D-8F53-445F-BC12-4437A7A54101}"/>
  <tableColumns count="13">
    <tableColumn id="1" xr3:uid="{31A98B1C-6CAD-4C40-A12F-AB77FA8B1381}" uniqueName="1" name="id" queryTableFieldId="1"/>
    <tableColumn id="2" xr3:uid="{54BB66BA-080F-43E0-9285-F3F96BEBD4A6}" uniqueName="2" name="c_date" queryTableFieldId="2" dataDxfId="3"/>
    <tableColumn id="3" xr3:uid="{C22267F1-47A4-4C2F-A516-CA06AC040878}" uniqueName="3" name="campaign_name" queryTableFieldId="3" dataDxfId="2"/>
    <tableColumn id="4" xr3:uid="{C9BCE169-89DC-4E44-919C-B7B165DCAD77}" uniqueName="4" name="category" queryTableFieldId="4" dataDxfId="1"/>
    <tableColumn id="5" xr3:uid="{D99A9D21-956D-48D2-B8D2-16DFF452CBB1}" uniqueName="5" name="campaign_id" queryTableFieldId="5"/>
    <tableColumn id="6" xr3:uid="{77DAE644-2806-40F6-8630-C0E0496BA7D1}" uniqueName="6" name="impressions" queryTableFieldId="6"/>
    <tableColumn id="7" xr3:uid="{8CEF77E1-16A6-4EEA-8CB1-FFAA024AF28D}" uniqueName="7" name="mark_spent" queryTableFieldId="7"/>
    <tableColumn id="8" xr3:uid="{4B78DF56-F3E0-4A7B-8106-FE937FE3F5B0}" uniqueName="8" name="clicks" queryTableFieldId="8"/>
    <tableColumn id="9" xr3:uid="{93360FCC-0B79-4249-9CA3-B955AA3F9962}" uniqueName="9" name="leads" queryTableFieldId="9"/>
    <tableColumn id="10" xr3:uid="{91FF875D-D4FA-4688-8354-68466A0CB9A3}" uniqueName="10" name="orders" queryTableFieldId="10"/>
    <tableColumn id="11" xr3:uid="{35F44994-27DA-4710-A945-09E46C87FAE1}" uniqueName="11" name="revenue" queryTableFieldId="11"/>
    <tableColumn id="12" xr3:uid="{85F10462-FF0D-4F73-97E8-CCC18E4C1649}" uniqueName="12" name="Return on Ad Spend (ROAS)" queryTableFieldId="12" dataDxfId="0">
      <calculatedColumnFormula>Marketing[[#This Row],[revenue]]/Marketing[[#This Row],[mark_spent]]</calculatedColumnFormula>
    </tableColumn>
    <tableColumn id="13" xr3:uid="{9982CB6E-0833-4580-A5A7-45C0672C9A8A}" uniqueName="13" name="Cost Per Action (CPA)" queryTableFieldId="13" dataCellStyle="Currency">
      <calculatedColumnFormula>IF(Marketing[[#This Row],[orders]]=0,"",Marketing[[#This Row],[mark_spent]]/Marketing[[#This Row],[orders]])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5143-7144-4EBF-BE19-A621433FD889}">
  <dimension ref="A1:M309"/>
  <sheetViews>
    <sheetView tabSelected="1" topLeftCell="C13" workbookViewId="0">
      <selection activeCell="H314" sqref="H314"/>
    </sheetView>
  </sheetViews>
  <sheetFormatPr defaultRowHeight="15" x14ac:dyDescent="0.25"/>
  <cols>
    <col min="1" max="1" width="5" bestFit="1" customWidth="1"/>
    <col min="2" max="2" width="9.42578125" bestFit="1" customWidth="1"/>
    <col min="3" max="3" width="19.7109375" bestFit="1" customWidth="1"/>
    <col min="4" max="4" width="11" bestFit="1" customWidth="1"/>
    <col min="5" max="6" width="14.42578125" bestFit="1" customWidth="1"/>
    <col min="7" max="7" width="13.7109375" bestFit="1" customWidth="1"/>
    <col min="8" max="8" width="8.42578125" bestFit="1" customWidth="1"/>
    <col min="9" max="9" width="8.140625" bestFit="1" customWidth="1"/>
    <col min="11" max="11" width="10.7109375" bestFit="1" customWidth="1"/>
    <col min="12" max="12" width="28.42578125" style="1" bestFit="1" customWidth="1"/>
    <col min="13" max="13" width="23" style="2" bestFit="1" customWidth="1"/>
  </cols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s="1" t="s">
        <v>54</v>
      </c>
      <c r="M1" s="2" t="s">
        <v>55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>
        <v>349043</v>
      </c>
      <c r="F2">
        <v>148263</v>
      </c>
      <c r="G2">
        <v>730737</v>
      </c>
      <c r="H2">
        <v>1210</v>
      </c>
      <c r="I2">
        <v>13</v>
      </c>
      <c r="J2">
        <v>1</v>
      </c>
      <c r="K2">
        <v>4981</v>
      </c>
      <c r="L2" s="1">
        <f>Marketing[[#This Row],[revenue]]/Marketing[[#This Row],[mark_spent]]</f>
        <v>6.8164059025340173E-3</v>
      </c>
      <c r="M2" s="2">
        <f>IF(Marketing[[#This Row],[orders]]=0,"",Marketing[[#This Row],[mark_spent]]/Marketing[[#This Row],[orders]])</f>
        <v>730737</v>
      </c>
    </row>
    <row r="3" spans="1:13" x14ac:dyDescent="0.25">
      <c r="A3">
        <v>2</v>
      </c>
      <c r="B3" t="s">
        <v>12</v>
      </c>
      <c r="C3" t="s">
        <v>15</v>
      </c>
      <c r="D3" t="s">
        <v>14</v>
      </c>
      <c r="E3">
        <v>348934</v>
      </c>
      <c r="F3">
        <v>220688</v>
      </c>
      <c r="G3">
        <v>163002</v>
      </c>
      <c r="H3">
        <v>1640</v>
      </c>
      <c r="I3">
        <v>48</v>
      </c>
      <c r="J3">
        <v>3</v>
      </c>
      <c r="K3">
        <v>14962</v>
      </c>
      <c r="L3" s="1">
        <f>Marketing[[#This Row],[revenue]]/Marketing[[#This Row],[mark_spent]]</f>
        <v>9.179028478178182E-2</v>
      </c>
      <c r="M3" s="2">
        <f>IF(Marketing[[#This Row],[orders]]=0,"",Marketing[[#This Row],[mark_spent]]/Marketing[[#This Row],[orders]])</f>
        <v>54334</v>
      </c>
    </row>
    <row r="4" spans="1:13" x14ac:dyDescent="0.25">
      <c r="A4">
        <v>3</v>
      </c>
      <c r="B4" t="s">
        <v>12</v>
      </c>
      <c r="C4" t="s">
        <v>16</v>
      </c>
      <c r="D4" t="s">
        <v>17</v>
      </c>
      <c r="E4">
        <v>89459845</v>
      </c>
      <c r="F4">
        <v>22850</v>
      </c>
      <c r="G4">
        <v>52216</v>
      </c>
      <c r="H4">
        <v>457</v>
      </c>
      <c r="I4">
        <v>9</v>
      </c>
      <c r="J4">
        <v>1</v>
      </c>
      <c r="K4">
        <v>7981</v>
      </c>
      <c r="L4" s="1">
        <f>Marketing[[#This Row],[revenue]]/Marketing[[#This Row],[mark_spent]]</f>
        <v>0.15284587099739544</v>
      </c>
      <c r="M4" s="2">
        <f>IF(Marketing[[#This Row],[orders]]=0,"",Marketing[[#This Row],[mark_spent]]/Marketing[[#This Row],[orders]])</f>
        <v>52216</v>
      </c>
    </row>
    <row r="5" spans="1:13" x14ac:dyDescent="0.25">
      <c r="A5">
        <v>4</v>
      </c>
      <c r="B5" t="s">
        <v>12</v>
      </c>
      <c r="C5" t="s">
        <v>18</v>
      </c>
      <c r="D5" t="s">
        <v>17</v>
      </c>
      <c r="E5">
        <v>127823</v>
      </c>
      <c r="F5">
        <v>147038</v>
      </c>
      <c r="G5">
        <v>6037</v>
      </c>
      <c r="H5">
        <v>1196</v>
      </c>
      <c r="I5">
        <v>24</v>
      </c>
      <c r="J5">
        <v>1</v>
      </c>
      <c r="K5">
        <v>2114</v>
      </c>
      <c r="L5" s="1">
        <f>Marketing[[#This Row],[revenue]]/Marketing[[#This Row],[mark_spent]]</f>
        <v>0.35017392744740766</v>
      </c>
      <c r="M5" s="2">
        <f>IF(Marketing[[#This Row],[orders]]=0,"",Marketing[[#This Row],[mark_spent]]/Marketing[[#This Row],[orders]])</f>
        <v>6037</v>
      </c>
    </row>
    <row r="6" spans="1:13" x14ac:dyDescent="0.25">
      <c r="A6">
        <v>5</v>
      </c>
      <c r="B6" t="s">
        <v>12</v>
      </c>
      <c r="C6" t="s">
        <v>19</v>
      </c>
      <c r="D6" t="s">
        <v>1</v>
      </c>
      <c r="E6">
        <v>10934</v>
      </c>
      <c r="F6">
        <v>225800</v>
      </c>
      <c r="G6">
        <v>299622</v>
      </c>
      <c r="H6">
        <v>2258</v>
      </c>
      <c r="I6">
        <v>49</v>
      </c>
      <c r="J6">
        <v>10</v>
      </c>
      <c r="K6">
        <v>84490</v>
      </c>
      <c r="L6" s="1">
        <f>Marketing[[#This Row],[revenue]]/Marketing[[#This Row],[mark_spent]]</f>
        <v>0.28198863901849663</v>
      </c>
      <c r="M6" s="2">
        <f>IF(Marketing[[#This Row],[orders]]=0,"",Marketing[[#This Row],[mark_spent]]/Marketing[[#This Row],[orders]])</f>
        <v>29962.2</v>
      </c>
    </row>
    <row r="7" spans="1:13" x14ac:dyDescent="0.25">
      <c r="A7">
        <v>6</v>
      </c>
      <c r="B7" t="s">
        <v>12</v>
      </c>
      <c r="C7" t="s">
        <v>20</v>
      </c>
      <c r="D7" t="s">
        <v>14</v>
      </c>
      <c r="E7">
        <v>9034945</v>
      </c>
      <c r="F7">
        <v>444857</v>
      </c>
      <c r="G7">
        <v>954001</v>
      </c>
      <c r="H7">
        <v>1342</v>
      </c>
      <c r="I7">
        <v>27</v>
      </c>
      <c r="J7">
        <v>3</v>
      </c>
      <c r="K7">
        <v>17943</v>
      </c>
      <c r="L7" s="1">
        <f>Marketing[[#This Row],[revenue]]/Marketing[[#This Row],[mark_spent]]</f>
        <v>1.880815638558031E-2</v>
      </c>
      <c r="M7" s="2">
        <f>IF(Marketing[[#This Row],[orders]]=0,"",Marketing[[#This Row],[mark_spent]]/Marketing[[#This Row],[orders]])</f>
        <v>318000.33333333331</v>
      </c>
    </row>
    <row r="8" spans="1:13" x14ac:dyDescent="0.25">
      <c r="A8">
        <v>7</v>
      </c>
      <c r="B8" t="s">
        <v>12</v>
      </c>
      <c r="C8" t="s">
        <v>21</v>
      </c>
      <c r="D8" t="s">
        <v>14</v>
      </c>
      <c r="E8">
        <v>983498</v>
      </c>
      <c r="F8">
        <v>511200</v>
      </c>
      <c r="G8">
        <v>36489</v>
      </c>
      <c r="H8">
        <v>2556</v>
      </c>
      <c r="I8">
        <v>94</v>
      </c>
      <c r="J8">
        <v>1</v>
      </c>
      <c r="K8">
        <v>1981</v>
      </c>
      <c r="L8" s="1">
        <f>Marketing[[#This Row],[revenue]]/Marketing[[#This Row],[mark_spent]]</f>
        <v>5.4290334073282362E-2</v>
      </c>
      <c r="M8" s="2">
        <f>IF(Marketing[[#This Row],[orders]]=0,"",Marketing[[#This Row],[mark_spent]]/Marketing[[#This Row],[orders]])</f>
        <v>36489</v>
      </c>
    </row>
    <row r="9" spans="1:13" x14ac:dyDescent="0.25">
      <c r="A9">
        <v>8</v>
      </c>
      <c r="B9" t="s">
        <v>12</v>
      </c>
      <c r="C9" t="s">
        <v>22</v>
      </c>
      <c r="D9" t="s">
        <v>14</v>
      </c>
      <c r="E9">
        <v>4387490</v>
      </c>
      <c r="F9">
        <v>5544</v>
      </c>
      <c r="G9">
        <v>129355</v>
      </c>
      <c r="H9">
        <v>148</v>
      </c>
      <c r="I9">
        <v>3</v>
      </c>
      <c r="J9">
        <v>1</v>
      </c>
      <c r="K9">
        <v>4981</v>
      </c>
      <c r="L9" s="1">
        <f>Marketing[[#This Row],[revenue]]/Marketing[[#This Row],[mark_spent]]</f>
        <v>3.8506435777511498E-2</v>
      </c>
      <c r="M9" s="2">
        <f>IF(Marketing[[#This Row],[orders]]=0,"",Marketing[[#This Row],[mark_spent]]/Marketing[[#This Row],[orders]])</f>
        <v>129355</v>
      </c>
    </row>
    <row r="10" spans="1:13" x14ac:dyDescent="0.25">
      <c r="A10">
        <v>9</v>
      </c>
      <c r="B10" t="s">
        <v>12</v>
      </c>
      <c r="C10" t="s">
        <v>23</v>
      </c>
      <c r="D10" t="s">
        <v>14</v>
      </c>
      <c r="E10">
        <v>544756</v>
      </c>
      <c r="F10">
        <v>56916</v>
      </c>
      <c r="G10">
        <v>169978</v>
      </c>
      <c r="H10">
        <v>596</v>
      </c>
      <c r="I10">
        <v>14</v>
      </c>
      <c r="J10">
        <v>2</v>
      </c>
      <c r="K10">
        <v>4162</v>
      </c>
      <c r="L10" s="1">
        <f>Marketing[[#This Row],[revenue]]/Marketing[[#This Row],[mark_spent]]</f>
        <v>2.4485521655743685E-2</v>
      </c>
      <c r="M10" s="2">
        <f>IF(Marketing[[#This Row],[orders]]=0,"",Marketing[[#This Row],[mark_spent]]/Marketing[[#This Row],[orders]])</f>
        <v>84989</v>
      </c>
    </row>
    <row r="11" spans="1:13" x14ac:dyDescent="0.25">
      <c r="A11">
        <v>10</v>
      </c>
      <c r="B11" t="s">
        <v>12</v>
      </c>
      <c r="C11" t="s">
        <v>24</v>
      </c>
      <c r="D11" t="s">
        <v>1</v>
      </c>
      <c r="E11">
        <v>374754</v>
      </c>
      <c r="F11">
        <v>120436</v>
      </c>
      <c r="G11">
        <v>236041</v>
      </c>
      <c r="H11">
        <v>1498</v>
      </c>
      <c r="I11">
        <v>49</v>
      </c>
      <c r="J11">
        <v>7</v>
      </c>
      <c r="K11">
        <v>39081</v>
      </c>
      <c r="L11" s="1">
        <f>Marketing[[#This Row],[revenue]]/Marketing[[#This Row],[mark_spent]]</f>
        <v>0.16556869357442139</v>
      </c>
      <c r="M11" s="2">
        <f>IF(Marketing[[#This Row],[orders]]=0,"",Marketing[[#This Row],[mark_spent]]/Marketing[[#This Row],[orders]])</f>
        <v>33720.142857142855</v>
      </c>
    </row>
    <row r="12" spans="1:13" x14ac:dyDescent="0.25">
      <c r="A12">
        <v>11</v>
      </c>
      <c r="B12" t="s">
        <v>12</v>
      </c>
      <c r="C12" t="s">
        <v>25</v>
      </c>
      <c r="D12" t="s">
        <v>26</v>
      </c>
      <c r="E12">
        <v>39889</v>
      </c>
      <c r="F12">
        <v>20900000</v>
      </c>
      <c r="G12">
        <v>93199</v>
      </c>
      <c r="H12">
        <v>2090</v>
      </c>
      <c r="I12">
        <v>3</v>
      </c>
      <c r="J12">
        <v>0</v>
      </c>
      <c r="K12">
        <v>0</v>
      </c>
      <c r="L12" s="1">
        <f>Marketing[[#This Row],[revenue]]/Marketing[[#This Row],[mark_spent]]</f>
        <v>0</v>
      </c>
      <c r="M12" s="2" t="str">
        <f>IF(Marketing[[#This Row],[orders]]=0,"",Marketing[[#This Row],[mark_spent]]/Marketing[[#This Row],[orders]])</f>
        <v/>
      </c>
    </row>
    <row r="13" spans="1:13" x14ac:dyDescent="0.25">
      <c r="A13">
        <v>12</v>
      </c>
      <c r="B13" t="s">
        <v>27</v>
      </c>
      <c r="C13" t="s">
        <v>13</v>
      </c>
      <c r="D13" t="s">
        <v>14</v>
      </c>
      <c r="E13">
        <v>349043</v>
      </c>
      <c r="F13">
        <v>478200</v>
      </c>
      <c r="G13">
        <v>183853</v>
      </c>
      <c r="H13">
        <v>2391</v>
      </c>
      <c r="I13">
        <v>48</v>
      </c>
      <c r="J13">
        <v>4</v>
      </c>
      <c r="K13">
        <v>17812</v>
      </c>
      <c r="L13" s="1">
        <f>Marketing[[#This Row],[revenue]]/Marketing[[#This Row],[mark_spent]]</f>
        <v>9.6881747918173763E-2</v>
      </c>
      <c r="M13" s="2">
        <f>IF(Marketing[[#This Row],[orders]]=0,"",Marketing[[#This Row],[mark_spent]]/Marketing[[#This Row],[orders]])</f>
        <v>45963.25</v>
      </c>
    </row>
    <row r="14" spans="1:13" x14ac:dyDescent="0.25">
      <c r="A14">
        <v>13</v>
      </c>
      <c r="B14" t="s">
        <v>27</v>
      </c>
      <c r="C14" t="s">
        <v>15</v>
      </c>
      <c r="D14" t="s">
        <v>14</v>
      </c>
      <c r="E14">
        <v>348934</v>
      </c>
      <c r="F14">
        <v>957806</v>
      </c>
      <c r="G14">
        <v>219805</v>
      </c>
      <c r="H14">
        <v>3294</v>
      </c>
      <c r="I14">
        <v>10</v>
      </c>
      <c r="J14">
        <v>0</v>
      </c>
      <c r="K14">
        <v>0</v>
      </c>
      <c r="L14" s="1">
        <f>Marketing[[#This Row],[revenue]]/Marketing[[#This Row],[mark_spent]]</f>
        <v>0</v>
      </c>
      <c r="M14" s="2" t="str">
        <f>IF(Marketing[[#This Row],[orders]]=0,"",Marketing[[#This Row],[mark_spent]]/Marketing[[#This Row],[orders]])</f>
        <v/>
      </c>
    </row>
    <row r="15" spans="1:13" x14ac:dyDescent="0.25">
      <c r="A15">
        <v>14</v>
      </c>
      <c r="B15" t="s">
        <v>27</v>
      </c>
      <c r="C15" t="s">
        <v>16</v>
      </c>
      <c r="D15" t="s">
        <v>17</v>
      </c>
      <c r="E15">
        <v>89459845</v>
      </c>
      <c r="F15">
        <v>43806</v>
      </c>
      <c r="G15">
        <v>114467</v>
      </c>
      <c r="H15">
        <v>907</v>
      </c>
      <c r="I15">
        <v>18</v>
      </c>
      <c r="J15">
        <v>3</v>
      </c>
      <c r="K15">
        <v>23943</v>
      </c>
      <c r="L15" s="1">
        <f>Marketing[[#This Row],[revenue]]/Marketing[[#This Row],[mark_spent]]</f>
        <v>0.20916945495208225</v>
      </c>
      <c r="M15" s="2">
        <f>IF(Marketing[[#This Row],[orders]]=0,"",Marketing[[#This Row],[mark_spent]]/Marketing[[#This Row],[orders]])</f>
        <v>38155.666666666664</v>
      </c>
    </row>
    <row r="16" spans="1:13" x14ac:dyDescent="0.25">
      <c r="A16">
        <v>15</v>
      </c>
      <c r="B16" t="s">
        <v>27</v>
      </c>
      <c r="C16" t="s">
        <v>18</v>
      </c>
      <c r="D16" t="s">
        <v>17</v>
      </c>
      <c r="E16">
        <v>127823</v>
      </c>
      <c r="F16">
        <v>314704</v>
      </c>
      <c r="G16">
        <v>151536</v>
      </c>
      <c r="H16">
        <v>2395</v>
      </c>
      <c r="I16">
        <v>39</v>
      </c>
      <c r="J16">
        <v>4</v>
      </c>
      <c r="K16">
        <v>12540</v>
      </c>
      <c r="L16" s="1">
        <f>Marketing[[#This Row],[revenue]]/Marketing[[#This Row],[mark_spent]]</f>
        <v>8.2752613240418119E-2</v>
      </c>
      <c r="M16" s="2">
        <f>IF(Marketing[[#This Row],[orders]]=0,"",Marketing[[#This Row],[mark_spent]]/Marketing[[#This Row],[orders]])</f>
        <v>37884</v>
      </c>
    </row>
    <row r="17" spans="1:13" x14ac:dyDescent="0.25">
      <c r="A17">
        <v>16</v>
      </c>
      <c r="B17" t="s">
        <v>27</v>
      </c>
      <c r="C17" t="s">
        <v>19</v>
      </c>
      <c r="D17" t="s">
        <v>1</v>
      </c>
      <c r="E17">
        <v>10934</v>
      </c>
      <c r="F17">
        <v>449200</v>
      </c>
      <c r="G17">
        <v>423011</v>
      </c>
      <c r="H17">
        <v>4492</v>
      </c>
      <c r="I17">
        <v>85</v>
      </c>
      <c r="J17">
        <v>17</v>
      </c>
      <c r="K17">
        <v>149141</v>
      </c>
      <c r="L17" s="1">
        <f>Marketing[[#This Row],[revenue]]/Marketing[[#This Row],[mark_spent]]</f>
        <v>0.35257002772977536</v>
      </c>
      <c r="M17" s="2">
        <f>IF(Marketing[[#This Row],[orders]]=0,"",Marketing[[#This Row],[mark_spent]]/Marketing[[#This Row],[orders]])</f>
        <v>24883</v>
      </c>
    </row>
    <row r="18" spans="1:13" x14ac:dyDescent="0.25">
      <c r="A18">
        <v>17</v>
      </c>
      <c r="B18" t="s">
        <v>27</v>
      </c>
      <c r="C18" t="s">
        <v>20</v>
      </c>
      <c r="D18" t="s">
        <v>14</v>
      </c>
      <c r="E18">
        <v>9034945</v>
      </c>
      <c r="F18">
        <v>540200</v>
      </c>
      <c r="G18">
        <v>290811</v>
      </c>
      <c r="H18">
        <v>2701</v>
      </c>
      <c r="I18">
        <v>54</v>
      </c>
      <c r="J18">
        <v>9</v>
      </c>
      <c r="K18">
        <v>45585</v>
      </c>
      <c r="L18" s="1">
        <f>Marketing[[#This Row],[revenue]]/Marketing[[#This Row],[mark_spent]]</f>
        <v>0.15675129207629698</v>
      </c>
      <c r="M18" s="2">
        <f>IF(Marketing[[#This Row],[orders]]=0,"",Marketing[[#This Row],[mark_spent]]/Marketing[[#This Row],[orders]])</f>
        <v>32312.333333333332</v>
      </c>
    </row>
    <row r="19" spans="1:13" x14ac:dyDescent="0.25">
      <c r="A19">
        <v>18</v>
      </c>
      <c r="B19" t="s">
        <v>27</v>
      </c>
      <c r="C19" t="s">
        <v>21</v>
      </c>
      <c r="D19" t="s">
        <v>14</v>
      </c>
      <c r="E19">
        <v>983498</v>
      </c>
      <c r="F19">
        <v>1020800</v>
      </c>
      <c r="G19">
        <v>142134</v>
      </c>
      <c r="H19">
        <v>5104</v>
      </c>
      <c r="I19">
        <v>14</v>
      </c>
      <c r="J19">
        <v>0</v>
      </c>
      <c r="K19">
        <v>0</v>
      </c>
      <c r="L19" s="1">
        <f>Marketing[[#This Row],[revenue]]/Marketing[[#This Row],[mark_spent]]</f>
        <v>0</v>
      </c>
      <c r="M19" s="2" t="str">
        <f>IF(Marketing[[#This Row],[orders]]=0,"",Marketing[[#This Row],[mark_spent]]/Marketing[[#This Row],[orders]])</f>
        <v/>
      </c>
    </row>
    <row r="20" spans="1:13" x14ac:dyDescent="0.25">
      <c r="A20">
        <v>19</v>
      </c>
      <c r="B20" t="s">
        <v>27</v>
      </c>
      <c r="C20" t="s">
        <v>22</v>
      </c>
      <c r="D20" t="s">
        <v>14</v>
      </c>
      <c r="E20">
        <v>4387490</v>
      </c>
      <c r="F20">
        <v>10033</v>
      </c>
      <c r="G20">
        <v>16975</v>
      </c>
      <c r="H20">
        <v>301</v>
      </c>
      <c r="I20">
        <v>0</v>
      </c>
      <c r="J20">
        <v>0</v>
      </c>
      <c r="K20">
        <v>0</v>
      </c>
      <c r="L20" s="1">
        <f>Marketing[[#This Row],[revenue]]/Marketing[[#This Row],[mark_spent]]</f>
        <v>0</v>
      </c>
      <c r="M20" s="2" t="str">
        <f>IF(Marketing[[#This Row],[orders]]=0,"",Marketing[[#This Row],[mark_spent]]/Marketing[[#This Row],[orders]])</f>
        <v/>
      </c>
    </row>
    <row r="21" spans="1:13" x14ac:dyDescent="0.25">
      <c r="A21">
        <v>20</v>
      </c>
      <c r="B21" t="s">
        <v>27</v>
      </c>
      <c r="C21" t="s">
        <v>23</v>
      </c>
      <c r="D21" t="s">
        <v>14</v>
      </c>
      <c r="E21">
        <v>544756</v>
      </c>
      <c r="F21">
        <v>107553</v>
      </c>
      <c r="G21">
        <v>882907</v>
      </c>
      <c r="H21">
        <v>1196</v>
      </c>
      <c r="I21">
        <v>7</v>
      </c>
      <c r="J21">
        <v>1</v>
      </c>
      <c r="K21">
        <v>1129</v>
      </c>
      <c r="L21" s="1">
        <f>Marketing[[#This Row],[revenue]]/Marketing[[#This Row],[mark_spent]]</f>
        <v>1.2787303759059562E-3</v>
      </c>
      <c r="M21" s="2">
        <f>IF(Marketing[[#This Row],[orders]]=0,"",Marketing[[#This Row],[mark_spent]]/Marketing[[#This Row],[orders]])</f>
        <v>882907</v>
      </c>
    </row>
    <row r="22" spans="1:13" x14ac:dyDescent="0.25">
      <c r="A22">
        <v>21</v>
      </c>
      <c r="B22" t="s">
        <v>27</v>
      </c>
      <c r="C22" t="s">
        <v>24</v>
      </c>
      <c r="D22" t="s">
        <v>1</v>
      </c>
      <c r="E22">
        <v>374754</v>
      </c>
      <c r="F22">
        <v>299600</v>
      </c>
      <c r="G22">
        <v>139191</v>
      </c>
      <c r="H22">
        <v>2996</v>
      </c>
      <c r="I22">
        <v>19</v>
      </c>
      <c r="J22">
        <v>3</v>
      </c>
      <c r="K22">
        <v>14466</v>
      </c>
      <c r="L22" s="1">
        <f>Marketing[[#This Row],[revenue]]/Marketing[[#This Row],[mark_spent]]</f>
        <v>0.10392913334913895</v>
      </c>
      <c r="M22" s="2">
        <f>IF(Marketing[[#This Row],[orders]]=0,"",Marketing[[#This Row],[mark_spent]]/Marketing[[#This Row],[orders]])</f>
        <v>46397</v>
      </c>
    </row>
    <row r="23" spans="1:13" x14ac:dyDescent="0.25">
      <c r="A23">
        <v>22</v>
      </c>
      <c r="B23" t="s">
        <v>27</v>
      </c>
      <c r="C23" t="s">
        <v>25</v>
      </c>
      <c r="D23" t="s">
        <v>26</v>
      </c>
      <c r="E23">
        <v>39889</v>
      </c>
      <c r="F23">
        <v>42000000</v>
      </c>
      <c r="G23">
        <v>461598</v>
      </c>
      <c r="H23">
        <v>4200</v>
      </c>
      <c r="I23">
        <v>92</v>
      </c>
      <c r="J23">
        <v>13</v>
      </c>
      <c r="K23">
        <v>51753</v>
      </c>
      <c r="L23" s="1">
        <f>Marketing[[#This Row],[revenue]]/Marketing[[#This Row],[mark_spent]]</f>
        <v>0.11211703690223961</v>
      </c>
      <c r="M23" s="2">
        <f>IF(Marketing[[#This Row],[orders]]=0,"",Marketing[[#This Row],[mark_spent]]/Marketing[[#This Row],[orders]])</f>
        <v>35507.538461538461</v>
      </c>
    </row>
    <row r="24" spans="1:13" x14ac:dyDescent="0.25">
      <c r="A24">
        <v>23</v>
      </c>
      <c r="B24" t="s">
        <v>28</v>
      </c>
      <c r="C24" t="s">
        <v>13</v>
      </c>
      <c r="D24" t="s">
        <v>14</v>
      </c>
      <c r="E24">
        <v>349043</v>
      </c>
      <c r="F24">
        <v>2313889</v>
      </c>
      <c r="G24">
        <v>652844</v>
      </c>
      <c r="H24">
        <v>7197</v>
      </c>
      <c r="I24">
        <v>115</v>
      </c>
      <c r="J24">
        <v>13</v>
      </c>
      <c r="K24">
        <v>72527</v>
      </c>
      <c r="L24" s="1">
        <f>Marketing[[#This Row],[revenue]]/Marketing[[#This Row],[mark_spent]]</f>
        <v>0.11109392136559423</v>
      </c>
      <c r="M24" s="2">
        <f>IF(Marketing[[#This Row],[orders]]=0,"",Marketing[[#This Row],[mark_spent]]/Marketing[[#This Row],[orders]])</f>
        <v>50218.769230769234</v>
      </c>
    </row>
    <row r="25" spans="1:13" x14ac:dyDescent="0.25">
      <c r="A25">
        <v>24</v>
      </c>
      <c r="B25" t="s">
        <v>28</v>
      </c>
      <c r="C25" t="s">
        <v>15</v>
      </c>
      <c r="D25" t="s">
        <v>14</v>
      </c>
      <c r="E25">
        <v>348934</v>
      </c>
      <c r="F25">
        <v>1105666</v>
      </c>
      <c r="G25">
        <v>789583</v>
      </c>
      <c r="H25">
        <v>9898</v>
      </c>
      <c r="I25">
        <v>226</v>
      </c>
      <c r="J25">
        <v>12</v>
      </c>
      <c r="K25">
        <v>59772</v>
      </c>
      <c r="L25" s="1">
        <f>Marketing[[#This Row],[revenue]]/Marketing[[#This Row],[mark_spent]]</f>
        <v>7.5700717973917878E-2</v>
      </c>
      <c r="M25" s="2">
        <f>IF(Marketing[[#This Row],[orders]]=0,"",Marketing[[#This Row],[mark_spent]]/Marketing[[#This Row],[orders]])</f>
        <v>65798.583333333328</v>
      </c>
    </row>
    <row r="26" spans="1:13" x14ac:dyDescent="0.25">
      <c r="A26">
        <v>25</v>
      </c>
      <c r="B26" t="s">
        <v>28</v>
      </c>
      <c r="C26" t="s">
        <v>16</v>
      </c>
      <c r="D26" t="s">
        <v>17</v>
      </c>
      <c r="E26">
        <v>89459845</v>
      </c>
      <c r="F26">
        <v>134900</v>
      </c>
      <c r="G26">
        <v>773455</v>
      </c>
      <c r="H26">
        <v>2698</v>
      </c>
      <c r="I26">
        <v>84</v>
      </c>
      <c r="J26">
        <v>16</v>
      </c>
      <c r="K26">
        <v>115856</v>
      </c>
      <c r="L26" s="1">
        <f>Marketing[[#This Row],[revenue]]/Marketing[[#This Row],[mark_spent]]</f>
        <v>0.14979022696860192</v>
      </c>
      <c r="M26" s="2">
        <f>IF(Marketing[[#This Row],[orders]]=0,"",Marketing[[#This Row],[mark_spent]]/Marketing[[#This Row],[orders]])</f>
        <v>48340.9375</v>
      </c>
    </row>
    <row r="27" spans="1:13" x14ac:dyDescent="0.25">
      <c r="A27">
        <v>26</v>
      </c>
      <c r="B27" t="s">
        <v>28</v>
      </c>
      <c r="C27" t="s">
        <v>18</v>
      </c>
      <c r="D27" t="s">
        <v>17</v>
      </c>
      <c r="E27">
        <v>127823</v>
      </c>
      <c r="F27">
        <v>4371854</v>
      </c>
      <c r="G27">
        <v>494989</v>
      </c>
      <c r="H27">
        <v>7207</v>
      </c>
      <c r="I27">
        <v>144</v>
      </c>
      <c r="J27">
        <v>13</v>
      </c>
      <c r="K27">
        <v>38753</v>
      </c>
      <c r="L27" s="1">
        <f>Marketing[[#This Row],[revenue]]/Marketing[[#This Row],[mark_spent]]</f>
        <v>7.8290628680637353E-2</v>
      </c>
      <c r="M27" s="2">
        <f>IF(Marketing[[#This Row],[orders]]=0,"",Marketing[[#This Row],[mark_spent]]/Marketing[[#This Row],[orders]])</f>
        <v>38076.076923076922</v>
      </c>
    </row>
    <row r="28" spans="1:13" x14ac:dyDescent="0.25">
      <c r="A28">
        <v>27</v>
      </c>
      <c r="B28" t="s">
        <v>28</v>
      </c>
      <c r="C28" t="s">
        <v>19</v>
      </c>
      <c r="D28" t="s">
        <v>1</v>
      </c>
      <c r="E28">
        <v>10934</v>
      </c>
      <c r="F28">
        <v>1035261</v>
      </c>
      <c r="G28">
        <v>189341</v>
      </c>
      <c r="H28">
        <v>13503</v>
      </c>
      <c r="I28">
        <v>455</v>
      </c>
      <c r="J28">
        <v>91</v>
      </c>
      <c r="K28">
        <v>772499</v>
      </c>
      <c r="L28" s="1">
        <f>Marketing[[#This Row],[revenue]]/Marketing[[#This Row],[mark_spent]]</f>
        <v>4.0799351434713031</v>
      </c>
      <c r="M28" s="2">
        <f>IF(Marketing[[#This Row],[orders]]=0,"",Marketing[[#This Row],[mark_spent]]/Marketing[[#This Row],[orders]])</f>
        <v>2080.6703296703295</v>
      </c>
    </row>
    <row r="29" spans="1:13" x14ac:dyDescent="0.25">
      <c r="A29">
        <v>28</v>
      </c>
      <c r="B29" t="s">
        <v>28</v>
      </c>
      <c r="C29" t="s">
        <v>20</v>
      </c>
      <c r="D29" t="s">
        <v>14</v>
      </c>
      <c r="E29">
        <v>9034945</v>
      </c>
      <c r="F29">
        <v>1618600</v>
      </c>
      <c r="G29">
        <v>625098</v>
      </c>
      <c r="H29">
        <v>8093</v>
      </c>
      <c r="I29">
        <v>166</v>
      </c>
      <c r="J29">
        <v>15</v>
      </c>
      <c r="K29">
        <v>84600</v>
      </c>
      <c r="L29" s="1">
        <f>Marketing[[#This Row],[revenue]]/Marketing[[#This Row],[mark_spent]]</f>
        <v>0.13533877887947171</v>
      </c>
      <c r="M29" s="2">
        <f>IF(Marketing[[#This Row],[orders]]=0,"",Marketing[[#This Row],[mark_spent]]/Marketing[[#This Row],[orders]])</f>
        <v>41673.199999999997</v>
      </c>
    </row>
    <row r="30" spans="1:13" x14ac:dyDescent="0.25">
      <c r="A30">
        <v>29</v>
      </c>
      <c r="B30" t="s">
        <v>28</v>
      </c>
      <c r="C30" t="s">
        <v>21</v>
      </c>
      <c r="D30" t="s">
        <v>14</v>
      </c>
      <c r="E30">
        <v>983498</v>
      </c>
      <c r="F30">
        <v>3059600</v>
      </c>
      <c r="G30">
        <v>943999</v>
      </c>
      <c r="H30">
        <v>15298</v>
      </c>
      <c r="I30">
        <v>592</v>
      </c>
      <c r="J30">
        <v>36</v>
      </c>
      <c r="K30">
        <v>104184</v>
      </c>
      <c r="L30" s="1">
        <f>Marketing[[#This Row],[revenue]]/Marketing[[#This Row],[mark_spent]]</f>
        <v>0.11036452369123273</v>
      </c>
      <c r="M30" s="2">
        <f>IF(Marketing[[#This Row],[orders]]=0,"",Marketing[[#This Row],[mark_spent]]/Marketing[[#This Row],[orders]])</f>
        <v>26222.194444444445</v>
      </c>
    </row>
    <row r="31" spans="1:13" x14ac:dyDescent="0.25">
      <c r="A31">
        <v>30</v>
      </c>
      <c r="B31" t="s">
        <v>28</v>
      </c>
      <c r="C31" t="s">
        <v>22</v>
      </c>
      <c r="D31" t="s">
        <v>14</v>
      </c>
      <c r="E31">
        <v>4387490</v>
      </c>
      <c r="F31">
        <v>29867</v>
      </c>
      <c r="G31">
        <v>503951</v>
      </c>
      <c r="H31">
        <v>896</v>
      </c>
      <c r="I31">
        <v>18</v>
      </c>
      <c r="J31">
        <v>4</v>
      </c>
      <c r="K31">
        <v>23560</v>
      </c>
      <c r="L31" s="1">
        <f>Marketing[[#This Row],[revenue]]/Marketing[[#This Row],[mark_spent]]</f>
        <v>4.6750576941012124E-2</v>
      </c>
      <c r="M31" s="2">
        <f>IF(Marketing[[#This Row],[orders]]=0,"",Marketing[[#This Row],[mark_spent]]/Marketing[[#This Row],[orders]])</f>
        <v>125987.75</v>
      </c>
    </row>
    <row r="32" spans="1:13" x14ac:dyDescent="0.25">
      <c r="A32">
        <v>31</v>
      </c>
      <c r="B32" t="s">
        <v>28</v>
      </c>
      <c r="C32" t="s">
        <v>23</v>
      </c>
      <c r="D32" t="s">
        <v>14</v>
      </c>
      <c r="E32">
        <v>544756</v>
      </c>
      <c r="F32">
        <v>295009</v>
      </c>
      <c r="G32">
        <v>767164</v>
      </c>
      <c r="H32">
        <v>3595</v>
      </c>
      <c r="I32">
        <v>72</v>
      </c>
      <c r="J32">
        <v>9</v>
      </c>
      <c r="K32">
        <v>5607</v>
      </c>
      <c r="L32" s="1">
        <f>Marketing[[#This Row],[revenue]]/Marketing[[#This Row],[mark_spent]]</f>
        <v>7.3087371148802599E-3</v>
      </c>
      <c r="M32" s="2">
        <f>IF(Marketing[[#This Row],[orders]]=0,"",Marketing[[#This Row],[mark_spent]]/Marketing[[#This Row],[orders]])</f>
        <v>85240.444444444438</v>
      </c>
    </row>
    <row r="33" spans="1:13" x14ac:dyDescent="0.25">
      <c r="A33">
        <v>32</v>
      </c>
      <c r="B33" t="s">
        <v>28</v>
      </c>
      <c r="C33" t="s">
        <v>24</v>
      </c>
      <c r="D33" t="s">
        <v>1</v>
      </c>
      <c r="E33">
        <v>374754</v>
      </c>
      <c r="F33">
        <v>667352</v>
      </c>
      <c r="G33">
        <v>194336</v>
      </c>
      <c r="H33">
        <v>8996</v>
      </c>
      <c r="I33">
        <v>342</v>
      </c>
      <c r="J33">
        <v>51</v>
      </c>
      <c r="K33">
        <v>254031</v>
      </c>
      <c r="L33" s="1">
        <f>Marketing[[#This Row],[revenue]]/Marketing[[#This Row],[mark_spent]]</f>
        <v>1.3071741725671002</v>
      </c>
      <c r="M33" s="2">
        <f>IF(Marketing[[#This Row],[orders]]=0,"",Marketing[[#This Row],[mark_spent]]/Marketing[[#This Row],[orders]])</f>
        <v>3810.5098039215686</v>
      </c>
    </row>
    <row r="34" spans="1:13" x14ac:dyDescent="0.25">
      <c r="A34">
        <v>33</v>
      </c>
      <c r="B34" t="s">
        <v>28</v>
      </c>
      <c r="C34" t="s">
        <v>25</v>
      </c>
      <c r="D34" t="s">
        <v>26</v>
      </c>
      <c r="E34">
        <v>39889</v>
      </c>
      <c r="F34">
        <v>125910000</v>
      </c>
      <c r="G34">
        <v>293783</v>
      </c>
      <c r="H34">
        <v>12591</v>
      </c>
      <c r="I34">
        <v>68</v>
      </c>
      <c r="J34">
        <v>13</v>
      </c>
      <c r="K34">
        <v>51753</v>
      </c>
      <c r="L34" s="1">
        <f>Marketing[[#This Row],[revenue]]/Marketing[[#This Row],[mark_spent]]</f>
        <v>0.17616063557115286</v>
      </c>
      <c r="M34" s="2">
        <f>IF(Marketing[[#This Row],[orders]]=0,"",Marketing[[#This Row],[mark_spent]]/Marketing[[#This Row],[orders]])</f>
        <v>22598.692307692309</v>
      </c>
    </row>
    <row r="35" spans="1:13" x14ac:dyDescent="0.25">
      <c r="A35">
        <v>34</v>
      </c>
      <c r="B35" t="s">
        <v>29</v>
      </c>
      <c r="C35" t="s">
        <v>13</v>
      </c>
      <c r="D35" t="s">
        <v>14</v>
      </c>
      <c r="E35">
        <v>349043</v>
      </c>
      <c r="F35">
        <v>2475754</v>
      </c>
      <c r="G35">
        <v>173914</v>
      </c>
      <c r="H35">
        <v>9601</v>
      </c>
      <c r="I35">
        <v>192</v>
      </c>
      <c r="J35">
        <v>31</v>
      </c>
      <c r="K35">
        <v>154411</v>
      </c>
      <c r="L35" s="1">
        <f>Marketing[[#This Row],[revenue]]/Marketing[[#This Row],[mark_spent]]</f>
        <v>0.88785836677898267</v>
      </c>
      <c r="M35" s="2">
        <f>IF(Marketing[[#This Row],[orders]]=0,"",Marketing[[#This Row],[mark_spent]]/Marketing[[#This Row],[orders]])</f>
        <v>5610.1290322580644</v>
      </c>
    </row>
    <row r="36" spans="1:13" x14ac:dyDescent="0.25">
      <c r="A36">
        <v>35</v>
      </c>
      <c r="B36" t="s">
        <v>29</v>
      </c>
      <c r="C36" t="s">
        <v>15</v>
      </c>
      <c r="D36" t="s">
        <v>14</v>
      </c>
      <c r="E36">
        <v>348934</v>
      </c>
      <c r="F36">
        <v>4597702</v>
      </c>
      <c r="G36">
        <v>115389</v>
      </c>
      <c r="H36">
        <v>13206</v>
      </c>
      <c r="I36">
        <v>143</v>
      </c>
      <c r="J36">
        <v>17</v>
      </c>
      <c r="K36">
        <v>82909</v>
      </c>
      <c r="L36" s="1">
        <f>Marketing[[#This Row],[revenue]]/Marketing[[#This Row],[mark_spent]]</f>
        <v>0.71851736300687241</v>
      </c>
      <c r="M36" s="2">
        <f>IF(Marketing[[#This Row],[orders]]=0,"",Marketing[[#This Row],[mark_spent]]/Marketing[[#This Row],[orders]])</f>
        <v>6787.588235294118</v>
      </c>
    </row>
    <row r="37" spans="1:13" x14ac:dyDescent="0.25">
      <c r="A37">
        <v>36</v>
      </c>
      <c r="B37" t="s">
        <v>29</v>
      </c>
      <c r="C37" t="s">
        <v>16</v>
      </c>
      <c r="D37" t="s">
        <v>17</v>
      </c>
      <c r="E37">
        <v>89459845</v>
      </c>
      <c r="F37">
        <v>196484</v>
      </c>
      <c r="G37">
        <v>412696</v>
      </c>
      <c r="H37">
        <v>3599</v>
      </c>
      <c r="I37">
        <v>55</v>
      </c>
      <c r="J37">
        <v>9</v>
      </c>
      <c r="K37">
        <v>68589</v>
      </c>
      <c r="L37" s="1">
        <f>Marketing[[#This Row],[revenue]]/Marketing[[#This Row],[mark_spent]]</f>
        <v>0.16619739469246128</v>
      </c>
      <c r="M37" s="2">
        <f>IF(Marketing[[#This Row],[orders]]=0,"",Marketing[[#This Row],[mark_spent]]/Marketing[[#This Row],[orders]])</f>
        <v>45855.111111111109</v>
      </c>
    </row>
    <row r="38" spans="1:13" x14ac:dyDescent="0.25">
      <c r="A38">
        <v>37</v>
      </c>
      <c r="B38" t="s">
        <v>29</v>
      </c>
      <c r="C38" t="s">
        <v>18</v>
      </c>
      <c r="D38" t="s">
        <v>17</v>
      </c>
      <c r="E38">
        <v>127823</v>
      </c>
      <c r="F38">
        <v>1531679</v>
      </c>
      <c r="G38">
        <v>601088</v>
      </c>
      <c r="H38">
        <v>9591</v>
      </c>
      <c r="I38">
        <v>234</v>
      </c>
      <c r="J38">
        <v>17</v>
      </c>
      <c r="K38">
        <v>58990</v>
      </c>
      <c r="L38" s="1">
        <f>Marketing[[#This Row],[revenue]]/Marketing[[#This Row],[mark_spent]]</f>
        <v>9.8138708475298125E-2</v>
      </c>
      <c r="M38" s="2">
        <f>IF(Marketing[[#This Row],[orders]]=0,"",Marketing[[#This Row],[mark_spent]]/Marketing[[#This Row],[orders]])</f>
        <v>35358.117647058825</v>
      </c>
    </row>
    <row r="39" spans="1:13" x14ac:dyDescent="0.25">
      <c r="A39">
        <v>38</v>
      </c>
      <c r="B39" t="s">
        <v>29</v>
      </c>
      <c r="C39" t="s">
        <v>19</v>
      </c>
      <c r="D39" t="s">
        <v>1</v>
      </c>
      <c r="E39">
        <v>10934</v>
      </c>
      <c r="F39">
        <v>2120555</v>
      </c>
      <c r="G39">
        <v>185263</v>
      </c>
      <c r="H39">
        <v>17993</v>
      </c>
      <c r="I39">
        <v>445</v>
      </c>
      <c r="J39">
        <v>89</v>
      </c>
      <c r="K39">
        <v>624958</v>
      </c>
      <c r="L39" s="1">
        <f>Marketing[[#This Row],[revenue]]/Marketing[[#This Row],[mark_spent]]</f>
        <v>3.3733557159281671</v>
      </c>
      <c r="M39" s="2">
        <f>IF(Marketing[[#This Row],[orders]]=0,"",Marketing[[#This Row],[mark_spent]]/Marketing[[#This Row],[orders]])</f>
        <v>2081.6067415730336</v>
      </c>
    </row>
    <row r="40" spans="1:13" x14ac:dyDescent="0.25">
      <c r="A40">
        <v>39</v>
      </c>
      <c r="B40" t="s">
        <v>29</v>
      </c>
      <c r="C40" t="s">
        <v>20</v>
      </c>
      <c r="D40" t="s">
        <v>14</v>
      </c>
      <c r="E40">
        <v>9034945</v>
      </c>
      <c r="F40">
        <v>1322751</v>
      </c>
      <c r="G40">
        <v>104028</v>
      </c>
      <c r="H40">
        <v>10794</v>
      </c>
      <c r="I40">
        <v>238</v>
      </c>
      <c r="J40">
        <v>27</v>
      </c>
      <c r="K40">
        <v>179037</v>
      </c>
      <c r="L40" s="1">
        <f>Marketing[[#This Row],[revenue]]/Marketing[[#This Row],[mark_spent]]</f>
        <v>1.7210462567770215</v>
      </c>
      <c r="M40" s="2">
        <f>IF(Marketing[[#This Row],[orders]]=0,"",Marketing[[#This Row],[mark_spent]]/Marketing[[#This Row],[orders]])</f>
        <v>3852.8888888888887</v>
      </c>
    </row>
    <row r="41" spans="1:13" x14ac:dyDescent="0.25">
      <c r="A41">
        <v>40</v>
      </c>
      <c r="B41" t="s">
        <v>29</v>
      </c>
      <c r="C41" t="s">
        <v>21</v>
      </c>
      <c r="D41" t="s">
        <v>14</v>
      </c>
      <c r="E41">
        <v>983498</v>
      </c>
      <c r="F41">
        <v>3008227</v>
      </c>
      <c r="G41">
        <v>401192</v>
      </c>
      <c r="H41">
        <v>20392</v>
      </c>
      <c r="I41">
        <v>408</v>
      </c>
      <c r="J41">
        <v>12</v>
      </c>
      <c r="K41">
        <v>23772</v>
      </c>
      <c r="L41" s="1">
        <f>Marketing[[#This Row],[revenue]]/Marketing[[#This Row],[mark_spent]]</f>
        <v>5.9253424794113545E-2</v>
      </c>
      <c r="M41" s="2">
        <f>IF(Marketing[[#This Row],[orders]]=0,"",Marketing[[#This Row],[mark_spent]]/Marketing[[#This Row],[orders]])</f>
        <v>33432.666666666664</v>
      </c>
    </row>
    <row r="42" spans="1:13" x14ac:dyDescent="0.25">
      <c r="A42">
        <v>41</v>
      </c>
      <c r="B42" t="s">
        <v>29</v>
      </c>
      <c r="C42" t="s">
        <v>22</v>
      </c>
      <c r="D42" t="s">
        <v>14</v>
      </c>
      <c r="E42">
        <v>4387490</v>
      </c>
      <c r="F42">
        <v>43160</v>
      </c>
      <c r="G42">
        <v>88575</v>
      </c>
      <c r="H42">
        <v>1194</v>
      </c>
      <c r="I42">
        <v>4</v>
      </c>
      <c r="J42">
        <v>1</v>
      </c>
      <c r="K42">
        <v>5287</v>
      </c>
      <c r="L42" s="1">
        <f>Marketing[[#This Row],[revenue]]/Marketing[[#This Row],[mark_spent]]</f>
        <v>5.9689528648038385E-2</v>
      </c>
      <c r="M42" s="2">
        <f>IF(Marketing[[#This Row],[orders]]=0,"",Marketing[[#This Row],[mark_spent]]/Marketing[[#This Row],[orders]])</f>
        <v>88575</v>
      </c>
    </row>
    <row r="43" spans="1:13" x14ac:dyDescent="0.25">
      <c r="A43">
        <v>42</v>
      </c>
      <c r="B43" t="s">
        <v>29</v>
      </c>
      <c r="C43" t="s">
        <v>23</v>
      </c>
      <c r="D43" t="s">
        <v>14</v>
      </c>
      <c r="E43">
        <v>544756</v>
      </c>
      <c r="F43">
        <v>432611</v>
      </c>
      <c r="G43">
        <v>120335</v>
      </c>
      <c r="H43">
        <v>4807</v>
      </c>
      <c r="I43">
        <v>71</v>
      </c>
      <c r="J43">
        <v>13</v>
      </c>
      <c r="K43">
        <v>6864</v>
      </c>
      <c r="L43" s="1">
        <f>Marketing[[#This Row],[revenue]]/Marketing[[#This Row],[mark_spent]]</f>
        <v>5.7040761208293517E-2</v>
      </c>
      <c r="M43" s="2">
        <f>IF(Marketing[[#This Row],[orders]]=0,"",Marketing[[#This Row],[mark_spent]]/Marketing[[#This Row],[orders]])</f>
        <v>9256.538461538461</v>
      </c>
    </row>
    <row r="44" spans="1:13" x14ac:dyDescent="0.25">
      <c r="A44">
        <v>43</v>
      </c>
      <c r="B44" t="s">
        <v>29</v>
      </c>
      <c r="C44" t="s">
        <v>24</v>
      </c>
      <c r="D44" t="s">
        <v>1</v>
      </c>
      <c r="E44">
        <v>374754</v>
      </c>
      <c r="F44">
        <v>1199300</v>
      </c>
      <c r="G44">
        <v>149279</v>
      </c>
      <c r="H44">
        <v>11993</v>
      </c>
      <c r="I44">
        <v>267</v>
      </c>
      <c r="J44">
        <v>38</v>
      </c>
      <c r="K44">
        <v>224542</v>
      </c>
      <c r="L44" s="1">
        <f>Marketing[[#This Row],[revenue]]/Marketing[[#This Row],[mark_spent]]</f>
        <v>1.5041767428774309</v>
      </c>
      <c r="M44" s="2">
        <f>IF(Marketing[[#This Row],[orders]]=0,"",Marketing[[#This Row],[mark_spent]]/Marketing[[#This Row],[orders]])</f>
        <v>3928.3947368421054</v>
      </c>
    </row>
    <row r="45" spans="1:13" x14ac:dyDescent="0.25">
      <c r="A45">
        <v>44</v>
      </c>
      <c r="B45" t="s">
        <v>29</v>
      </c>
      <c r="C45" t="s">
        <v>25</v>
      </c>
      <c r="D45" t="s">
        <v>26</v>
      </c>
      <c r="E45">
        <v>39889</v>
      </c>
      <c r="F45">
        <v>41924802</v>
      </c>
      <c r="G45">
        <v>177746</v>
      </c>
      <c r="H45">
        <v>16806</v>
      </c>
      <c r="I45">
        <v>336</v>
      </c>
      <c r="J45">
        <v>60</v>
      </c>
      <c r="K45">
        <v>204540</v>
      </c>
      <c r="L45" s="1">
        <f>Marketing[[#This Row],[revenue]]/Marketing[[#This Row],[mark_spent]]</f>
        <v>1.1507431953461682</v>
      </c>
      <c r="M45" s="2">
        <f>IF(Marketing[[#This Row],[orders]]=0,"",Marketing[[#This Row],[mark_spent]]/Marketing[[#This Row],[orders]])</f>
        <v>2962.4333333333334</v>
      </c>
    </row>
    <row r="46" spans="1:13" x14ac:dyDescent="0.25">
      <c r="A46">
        <v>45</v>
      </c>
      <c r="B46" t="s">
        <v>30</v>
      </c>
      <c r="C46" t="s">
        <v>13</v>
      </c>
      <c r="D46" t="s">
        <v>14</v>
      </c>
      <c r="E46">
        <v>349043</v>
      </c>
      <c r="F46">
        <v>3462883</v>
      </c>
      <c r="G46">
        <v>906917</v>
      </c>
      <c r="H46">
        <v>11997</v>
      </c>
      <c r="I46">
        <v>143</v>
      </c>
      <c r="J46">
        <v>17</v>
      </c>
      <c r="K46">
        <v>84677</v>
      </c>
      <c r="L46" s="1">
        <f>Marketing[[#This Row],[revenue]]/Marketing[[#This Row],[mark_spent]]</f>
        <v>9.3367970828642538E-2</v>
      </c>
      <c r="M46" s="2">
        <f>IF(Marketing[[#This Row],[orders]]=0,"",Marketing[[#This Row],[mark_spent]]/Marketing[[#This Row],[orders]])</f>
        <v>53348.058823529413</v>
      </c>
    </row>
    <row r="47" spans="1:13" x14ac:dyDescent="0.25">
      <c r="A47">
        <v>46</v>
      </c>
      <c r="B47" t="s">
        <v>30</v>
      </c>
      <c r="C47" t="s">
        <v>15</v>
      </c>
      <c r="D47" t="s">
        <v>14</v>
      </c>
      <c r="E47">
        <v>348934</v>
      </c>
      <c r="F47">
        <v>3299600</v>
      </c>
      <c r="G47">
        <v>261047</v>
      </c>
      <c r="H47">
        <v>16498</v>
      </c>
      <c r="I47">
        <v>330</v>
      </c>
      <c r="J47">
        <v>42</v>
      </c>
      <c r="K47">
        <v>209202</v>
      </c>
      <c r="L47" s="1">
        <f>Marketing[[#This Row],[revenue]]/Marketing[[#This Row],[mark_spent]]</f>
        <v>0.80139591721031078</v>
      </c>
      <c r="M47" s="2">
        <f>IF(Marketing[[#This Row],[orders]]=0,"",Marketing[[#This Row],[mark_spent]]/Marketing[[#This Row],[orders]])</f>
        <v>6215.4047619047615</v>
      </c>
    </row>
    <row r="48" spans="1:13" x14ac:dyDescent="0.25">
      <c r="A48">
        <v>47</v>
      </c>
      <c r="B48" t="s">
        <v>30</v>
      </c>
      <c r="C48" t="s">
        <v>16</v>
      </c>
      <c r="D48" t="s">
        <v>17</v>
      </c>
      <c r="E48">
        <v>89459845</v>
      </c>
      <c r="F48">
        <v>236719</v>
      </c>
      <c r="G48">
        <v>969306</v>
      </c>
      <c r="H48">
        <v>4504</v>
      </c>
      <c r="I48">
        <v>151</v>
      </c>
      <c r="J48">
        <v>23</v>
      </c>
      <c r="K48">
        <v>177882</v>
      </c>
      <c r="L48" s="1">
        <f>Marketing[[#This Row],[revenue]]/Marketing[[#This Row],[mark_spent]]</f>
        <v>0.18351480337478568</v>
      </c>
      <c r="M48" s="2">
        <f>IF(Marketing[[#This Row],[orders]]=0,"",Marketing[[#This Row],[mark_spent]]/Marketing[[#This Row],[orders]])</f>
        <v>42143.739130434784</v>
      </c>
    </row>
    <row r="49" spans="1:13" x14ac:dyDescent="0.25">
      <c r="A49">
        <v>48</v>
      </c>
      <c r="B49" t="s">
        <v>30</v>
      </c>
      <c r="C49" t="s">
        <v>18</v>
      </c>
      <c r="D49" t="s">
        <v>17</v>
      </c>
      <c r="E49">
        <v>127823</v>
      </c>
      <c r="F49">
        <v>9914040</v>
      </c>
      <c r="G49">
        <v>568752</v>
      </c>
      <c r="H49">
        <v>11993</v>
      </c>
      <c r="I49">
        <v>139</v>
      </c>
      <c r="J49">
        <v>14</v>
      </c>
      <c r="K49">
        <v>49644</v>
      </c>
      <c r="L49" s="1">
        <f>Marketing[[#This Row],[revenue]]/Marketing[[#This Row],[mark_spent]]</f>
        <v>8.7285846906911976E-2</v>
      </c>
      <c r="M49" s="2">
        <f>IF(Marketing[[#This Row],[orders]]=0,"",Marketing[[#This Row],[mark_spent]]/Marketing[[#This Row],[orders]])</f>
        <v>40625.142857142855</v>
      </c>
    </row>
    <row r="50" spans="1:13" x14ac:dyDescent="0.25">
      <c r="A50">
        <v>49</v>
      </c>
      <c r="B50" t="s">
        <v>30</v>
      </c>
      <c r="C50" t="s">
        <v>19</v>
      </c>
      <c r="D50" t="s">
        <v>1</v>
      </c>
      <c r="E50">
        <v>10934</v>
      </c>
      <c r="F50">
        <v>1965108</v>
      </c>
      <c r="G50">
        <v>442617</v>
      </c>
      <c r="H50">
        <v>22507</v>
      </c>
      <c r="I50">
        <v>731</v>
      </c>
      <c r="J50">
        <v>146</v>
      </c>
      <c r="K50">
        <v>1165230</v>
      </c>
      <c r="L50" s="1">
        <f>Marketing[[#This Row],[revenue]]/Marketing[[#This Row],[mark_spent]]</f>
        <v>2.6325920604043676</v>
      </c>
      <c r="M50" s="2">
        <f>IF(Marketing[[#This Row],[orders]]=0,"",Marketing[[#This Row],[mark_spent]]/Marketing[[#This Row],[orders]])</f>
        <v>3031.6232876712329</v>
      </c>
    </row>
    <row r="51" spans="1:13" x14ac:dyDescent="0.25">
      <c r="A51">
        <v>50</v>
      </c>
      <c r="B51" t="s">
        <v>30</v>
      </c>
      <c r="C51" t="s">
        <v>20</v>
      </c>
      <c r="D51" t="s">
        <v>14</v>
      </c>
      <c r="E51">
        <v>9034945</v>
      </c>
      <c r="F51">
        <v>7485780</v>
      </c>
      <c r="G51">
        <v>258306</v>
      </c>
      <c r="H51">
        <v>13498</v>
      </c>
      <c r="I51">
        <v>526</v>
      </c>
      <c r="J51">
        <v>76</v>
      </c>
      <c r="K51">
        <v>454556</v>
      </c>
      <c r="L51" s="1">
        <f>Marketing[[#This Row],[revenue]]/Marketing[[#This Row],[mark_spent]]</f>
        <v>1.7597578066324437</v>
      </c>
      <c r="M51" s="2">
        <f>IF(Marketing[[#This Row],[orders]]=0,"",Marketing[[#This Row],[mark_spent]]/Marketing[[#This Row],[orders]])</f>
        <v>3398.7631578947367</v>
      </c>
    </row>
    <row r="52" spans="1:13" x14ac:dyDescent="0.25">
      <c r="A52">
        <v>51</v>
      </c>
      <c r="B52" t="s">
        <v>30</v>
      </c>
      <c r="C52" t="s">
        <v>21</v>
      </c>
      <c r="D52" t="s">
        <v>14</v>
      </c>
      <c r="E52">
        <v>983498</v>
      </c>
      <c r="F52">
        <v>5100600</v>
      </c>
      <c r="G52">
        <v>135888</v>
      </c>
      <c r="H52">
        <v>25503</v>
      </c>
      <c r="I52">
        <v>765</v>
      </c>
      <c r="J52">
        <v>4</v>
      </c>
      <c r="K52">
        <v>7924</v>
      </c>
      <c r="L52" s="1">
        <f>Marketing[[#This Row],[revenue]]/Marketing[[#This Row],[mark_spent]]</f>
        <v>5.8312728129047448E-2</v>
      </c>
      <c r="M52" s="2">
        <f>IF(Marketing[[#This Row],[orders]]=0,"",Marketing[[#This Row],[mark_spent]]/Marketing[[#This Row],[orders]])</f>
        <v>33972</v>
      </c>
    </row>
    <row r="53" spans="1:13" x14ac:dyDescent="0.25">
      <c r="A53">
        <v>52</v>
      </c>
      <c r="B53" t="s">
        <v>30</v>
      </c>
      <c r="C53" t="s">
        <v>22</v>
      </c>
      <c r="D53" t="s">
        <v>14</v>
      </c>
      <c r="E53">
        <v>4387490</v>
      </c>
      <c r="F53">
        <v>48954</v>
      </c>
      <c r="G53">
        <v>679074</v>
      </c>
      <c r="H53">
        <v>1505</v>
      </c>
      <c r="I53">
        <v>30</v>
      </c>
      <c r="J53">
        <v>5</v>
      </c>
      <c r="K53">
        <v>27060</v>
      </c>
      <c r="L53" s="1">
        <f>Marketing[[#This Row],[revenue]]/Marketing[[#This Row],[mark_spent]]</f>
        <v>3.9848381766935559E-2</v>
      </c>
      <c r="M53" s="2">
        <f>IF(Marketing[[#This Row],[orders]]=0,"",Marketing[[#This Row],[mark_spent]]/Marketing[[#This Row],[orders]])</f>
        <v>135814.79999999999</v>
      </c>
    </row>
    <row r="54" spans="1:13" x14ac:dyDescent="0.25">
      <c r="A54">
        <v>53</v>
      </c>
      <c r="B54" t="s">
        <v>30</v>
      </c>
      <c r="C54" t="s">
        <v>23</v>
      </c>
      <c r="D54" t="s">
        <v>14</v>
      </c>
      <c r="E54">
        <v>544756</v>
      </c>
      <c r="F54">
        <v>600400</v>
      </c>
      <c r="G54">
        <v>192789</v>
      </c>
      <c r="H54">
        <v>6004</v>
      </c>
      <c r="I54">
        <v>120</v>
      </c>
      <c r="J54">
        <v>21</v>
      </c>
      <c r="K54">
        <v>9492</v>
      </c>
      <c r="L54" s="1">
        <f>Marketing[[#This Row],[revenue]]/Marketing[[#This Row],[mark_spent]]</f>
        <v>4.9235174205997233E-2</v>
      </c>
      <c r="M54" s="2">
        <f>IF(Marketing[[#This Row],[orders]]=0,"",Marketing[[#This Row],[mark_spent]]/Marketing[[#This Row],[orders]])</f>
        <v>9180.4285714285706</v>
      </c>
    </row>
    <row r="55" spans="1:13" x14ac:dyDescent="0.25">
      <c r="A55">
        <v>54</v>
      </c>
      <c r="B55" t="s">
        <v>30</v>
      </c>
      <c r="C55" t="s">
        <v>24</v>
      </c>
      <c r="D55" t="s">
        <v>1</v>
      </c>
      <c r="E55">
        <v>374754</v>
      </c>
      <c r="F55">
        <v>2153303</v>
      </c>
      <c r="G55">
        <v>364317</v>
      </c>
      <c r="H55">
        <v>15003</v>
      </c>
      <c r="I55">
        <v>51</v>
      </c>
      <c r="J55">
        <v>8</v>
      </c>
      <c r="K55">
        <v>47816</v>
      </c>
      <c r="L55" s="1">
        <f>Marketing[[#This Row],[revenue]]/Marketing[[#This Row],[mark_spent]]</f>
        <v>0.1312483359272282</v>
      </c>
      <c r="M55" s="2">
        <f>IF(Marketing[[#This Row],[orders]]=0,"",Marketing[[#This Row],[mark_spent]]/Marketing[[#This Row],[orders]])</f>
        <v>45539.625</v>
      </c>
    </row>
    <row r="56" spans="1:13" x14ac:dyDescent="0.25">
      <c r="A56">
        <v>55</v>
      </c>
      <c r="B56" t="s">
        <v>30</v>
      </c>
      <c r="C56" t="s">
        <v>25</v>
      </c>
      <c r="D56" t="s">
        <v>26</v>
      </c>
      <c r="E56">
        <v>39889</v>
      </c>
      <c r="F56">
        <v>8238872</v>
      </c>
      <c r="G56">
        <v>427922</v>
      </c>
      <c r="H56">
        <v>20997</v>
      </c>
      <c r="I56">
        <v>796</v>
      </c>
      <c r="J56">
        <v>119</v>
      </c>
      <c r="K56">
        <v>471240</v>
      </c>
      <c r="L56" s="1">
        <f>Marketing[[#This Row],[revenue]]/Marketing[[#This Row],[mark_spent]]</f>
        <v>1.1012287286000719</v>
      </c>
      <c r="M56" s="2">
        <f>IF(Marketing[[#This Row],[orders]]=0,"",Marketing[[#This Row],[mark_spent]]/Marketing[[#This Row],[orders]])</f>
        <v>3595.9831932773109</v>
      </c>
    </row>
    <row r="57" spans="1:13" x14ac:dyDescent="0.25">
      <c r="A57">
        <v>56</v>
      </c>
      <c r="B57" t="s">
        <v>31</v>
      </c>
      <c r="C57" t="s">
        <v>13</v>
      </c>
      <c r="D57" t="s">
        <v>14</v>
      </c>
      <c r="E57">
        <v>349043</v>
      </c>
      <c r="F57">
        <v>310024</v>
      </c>
      <c r="G57">
        <v>404079</v>
      </c>
      <c r="H57">
        <v>2391</v>
      </c>
      <c r="I57">
        <v>76</v>
      </c>
      <c r="J57">
        <v>9</v>
      </c>
      <c r="K57">
        <v>46152</v>
      </c>
      <c r="L57" s="1">
        <f>Marketing[[#This Row],[revenue]]/Marketing[[#This Row],[mark_spent]]</f>
        <v>0.11421528958446245</v>
      </c>
      <c r="M57" s="2">
        <f>IF(Marketing[[#This Row],[orders]]=0,"",Marketing[[#This Row],[mark_spent]]/Marketing[[#This Row],[orders]])</f>
        <v>44897.666666666664</v>
      </c>
    </row>
    <row r="58" spans="1:13" x14ac:dyDescent="0.25">
      <c r="A58">
        <v>57</v>
      </c>
      <c r="B58" t="s">
        <v>31</v>
      </c>
      <c r="C58" t="s">
        <v>15</v>
      </c>
      <c r="D58" t="s">
        <v>14</v>
      </c>
      <c r="E58">
        <v>348934</v>
      </c>
      <c r="F58">
        <v>448321</v>
      </c>
      <c r="G58">
        <v>622726</v>
      </c>
      <c r="H58">
        <v>3302</v>
      </c>
      <c r="I58">
        <v>108</v>
      </c>
      <c r="J58">
        <v>9</v>
      </c>
      <c r="K58">
        <v>44829</v>
      </c>
      <c r="L58" s="1">
        <f>Marketing[[#This Row],[revenue]]/Marketing[[#This Row],[mark_spent]]</f>
        <v>7.1988322311899611E-2</v>
      </c>
      <c r="M58" s="2">
        <f>IF(Marketing[[#This Row],[orders]]=0,"",Marketing[[#This Row],[mark_spent]]/Marketing[[#This Row],[orders]])</f>
        <v>69191.777777777781</v>
      </c>
    </row>
    <row r="59" spans="1:13" x14ac:dyDescent="0.25">
      <c r="A59">
        <v>58</v>
      </c>
      <c r="B59" t="s">
        <v>31</v>
      </c>
      <c r="C59" t="s">
        <v>16</v>
      </c>
      <c r="D59" t="s">
        <v>17</v>
      </c>
      <c r="E59">
        <v>89459845</v>
      </c>
      <c r="F59">
        <v>44950</v>
      </c>
      <c r="G59">
        <v>676887</v>
      </c>
      <c r="H59">
        <v>899</v>
      </c>
      <c r="I59">
        <v>13</v>
      </c>
      <c r="J59">
        <v>1</v>
      </c>
      <c r="K59">
        <v>8136</v>
      </c>
      <c r="L59" s="1">
        <f>Marketing[[#This Row],[revenue]]/Marketing[[#This Row],[mark_spent]]</f>
        <v>1.2019731506145043E-2</v>
      </c>
      <c r="M59" s="2">
        <f>IF(Marketing[[#This Row],[orders]]=0,"",Marketing[[#This Row],[mark_spent]]/Marketing[[#This Row],[orders]])</f>
        <v>676887</v>
      </c>
    </row>
    <row r="60" spans="1:13" x14ac:dyDescent="0.25">
      <c r="A60">
        <v>59</v>
      </c>
      <c r="B60" t="s">
        <v>31</v>
      </c>
      <c r="C60" t="s">
        <v>18</v>
      </c>
      <c r="D60" t="s">
        <v>17</v>
      </c>
      <c r="E60">
        <v>127823</v>
      </c>
      <c r="F60">
        <v>478400</v>
      </c>
      <c r="G60">
        <v>22542</v>
      </c>
      <c r="H60">
        <v>2392</v>
      </c>
      <c r="I60">
        <v>48</v>
      </c>
      <c r="J60">
        <v>6</v>
      </c>
      <c r="K60">
        <v>13152</v>
      </c>
      <c r="L60" s="1">
        <f>Marketing[[#This Row],[revenue]]/Marketing[[#This Row],[mark_spent]]</f>
        <v>0.58344423742347618</v>
      </c>
      <c r="M60" s="2">
        <f>IF(Marketing[[#This Row],[orders]]=0,"",Marketing[[#This Row],[mark_spent]]/Marketing[[#This Row],[orders]])</f>
        <v>3757</v>
      </c>
    </row>
    <row r="61" spans="1:13" x14ac:dyDescent="0.25">
      <c r="A61">
        <v>60</v>
      </c>
      <c r="B61" t="s">
        <v>31</v>
      </c>
      <c r="C61" t="s">
        <v>19</v>
      </c>
      <c r="D61" t="s">
        <v>1</v>
      </c>
      <c r="E61">
        <v>10934</v>
      </c>
      <c r="F61">
        <v>472252</v>
      </c>
      <c r="G61">
        <v>809714</v>
      </c>
      <c r="H61">
        <v>4508</v>
      </c>
      <c r="I61">
        <v>133</v>
      </c>
      <c r="J61">
        <v>27</v>
      </c>
      <c r="K61">
        <v>215487</v>
      </c>
      <c r="L61" s="1">
        <f>Marketing[[#This Row],[revenue]]/Marketing[[#This Row],[mark_spent]]</f>
        <v>0.26612729926863066</v>
      </c>
      <c r="M61" s="2">
        <f>IF(Marketing[[#This Row],[orders]]=0,"",Marketing[[#This Row],[mark_spent]]/Marketing[[#This Row],[orders]])</f>
        <v>29989.407407407409</v>
      </c>
    </row>
    <row r="62" spans="1:13" x14ac:dyDescent="0.25">
      <c r="A62">
        <v>61</v>
      </c>
      <c r="B62" t="s">
        <v>31</v>
      </c>
      <c r="C62" t="s">
        <v>20</v>
      </c>
      <c r="D62" t="s">
        <v>14</v>
      </c>
      <c r="E62">
        <v>9034945</v>
      </c>
      <c r="F62">
        <v>425467</v>
      </c>
      <c r="G62">
        <v>366153</v>
      </c>
      <c r="H62">
        <v>2695</v>
      </c>
      <c r="I62">
        <v>14</v>
      </c>
      <c r="J62">
        <v>1</v>
      </c>
      <c r="K62">
        <v>5958</v>
      </c>
      <c r="L62" s="1">
        <f>Marketing[[#This Row],[revenue]]/Marketing[[#This Row],[mark_spent]]</f>
        <v>1.627188634259449E-2</v>
      </c>
      <c r="M62" s="2">
        <f>IF(Marketing[[#This Row],[orders]]=0,"",Marketing[[#This Row],[mark_spent]]/Marketing[[#This Row],[orders]])</f>
        <v>366153</v>
      </c>
    </row>
    <row r="63" spans="1:13" x14ac:dyDescent="0.25">
      <c r="A63">
        <v>62</v>
      </c>
      <c r="B63" t="s">
        <v>31</v>
      </c>
      <c r="C63" t="s">
        <v>21</v>
      </c>
      <c r="D63" t="s">
        <v>14</v>
      </c>
      <c r="E63">
        <v>983498</v>
      </c>
      <c r="F63">
        <v>1589341</v>
      </c>
      <c r="G63">
        <v>121834</v>
      </c>
      <c r="H63">
        <v>5092</v>
      </c>
      <c r="I63">
        <v>102</v>
      </c>
      <c r="J63">
        <v>5</v>
      </c>
      <c r="K63">
        <v>12295</v>
      </c>
      <c r="L63" s="1">
        <f>Marketing[[#This Row],[revenue]]/Marketing[[#This Row],[mark_spent]]</f>
        <v>0.1009160004596418</v>
      </c>
      <c r="M63" s="2">
        <f>IF(Marketing[[#This Row],[orders]]=0,"",Marketing[[#This Row],[mark_spent]]/Marketing[[#This Row],[orders]])</f>
        <v>24366.799999999999</v>
      </c>
    </row>
    <row r="64" spans="1:13" x14ac:dyDescent="0.25">
      <c r="A64">
        <v>63</v>
      </c>
      <c r="B64" t="s">
        <v>31</v>
      </c>
      <c r="C64" t="s">
        <v>22</v>
      </c>
      <c r="D64" t="s">
        <v>14</v>
      </c>
      <c r="E64">
        <v>4387490</v>
      </c>
      <c r="F64">
        <v>10200</v>
      </c>
      <c r="G64">
        <v>142015</v>
      </c>
      <c r="H64">
        <v>306</v>
      </c>
      <c r="I64">
        <v>6</v>
      </c>
      <c r="J64">
        <v>1</v>
      </c>
      <c r="K64">
        <v>5492</v>
      </c>
      <c r="L64" s="1">
        <f>Marketing[[#This Row],[revenue]]/Marketing[[#This Row],[mark_spent]]</f>
        <v>3.8671971270640426E-2</v>
      </c>
      <c r="M64" s="2">
        <f>IF(Marketing[[#This Row],[orders]]=0,"",Marketing[[#This Row],[mark_spent]]/Marketing[[#This Row],[orders]])</f>
        <v>142015</v>
      </c>
    </row>
    <row r="65" spans="1:13" x14ac:dyDescent="0.25">
      <c r="A65">
        <v>64</v>
      </c>
      <c r="B65" t="s">
        <v>31</v>
      </c>
      <c r="C65" t="s">
        <v>23</v>
      </c>
      <c r="D65" t="s">
        <v>14</v>
      </c>
      <c r="E65">
        <v>544756</v>
      </c>
      <c r="F65">
        <v>119700</v>
      </c>
      <c r="G65">
        <v>29281</v>
      </c>
      <c r="H65">
        <v>1197</v>
      </c>
      <c r="I65">
        <v>24</v>
      </c>
      <c r="J65">
        <v>4</v>
      </c>
      <c r="K65">
        <v>6428</v>
      </c>
      <c r="L65" s="1">
        <f>Marketing[[#This Row],[revenue]]/Marketing[[#This Row],[mark_spent]]</f>
        <v>0.21952802158396229</v>
      </c>
      <c r="M65" s="2">
        <f>IF(Marketing[[#This Row],[orders]]=0,"",Marketing[[#This Row],[mark_spent]]/Marketing[[#This Row],[orders]])</f>
        <v>7320.25</v>
      </c>
    </row>
    <row r="66" spans="1:13" x14ac:dyDescent="0.25">
      <c r="A66">
        <v>65</v>
      </c>
      <c r="B66" t="s">
        <v>31</v>
      </c>
      <c r="C66" t="s">
        <v>24</v>
      </c>
      <c r="D66" t="s">
        <v>1</v>
      </c>
      <c r="E66">
        <v>374754</v>
      </c>
      <c r="F66">
        <v>300700</v>
      </c>
      <c r="G66">
        <v>828921</v>
      </c>
      <c r="H66">
        <v>3007</v>
      </c>
      <c r="I66">
        <v>20</v>
      </c>
      <c r="J66">
        <v>2</v>
      </c>
      <c r="K66">
        <v>9450</v>
      </c>
      <c r="L66" s="1">
        <f>Marketing[[#This Row],[revenue]]/Marketing[[#This Row],[mark_spent]]</f>
        <v>1.1400362640106838E-2</v>
      </c>
      <c r="M66" s="2">
        <f>IF(Marketing[[#This Row],[orders]]=0,"",Marketing[[#This Row],[mark_spent]]/Marketing[[#This Row],[orders]])</f>
        <v>414460.5</v>
      </c>
    </row>
    <row r="67" spans="1:13" x14ac:dyDescent="0.25">
      <c r="A67">
        <v>66</v>
      </c>
      <c r="B67" t="s">
        <v>31</v>
      </c>
      <c r="C67" t="s">
        <v>25</v>
      </c>
      <c r="D67" t="s">
        <v>26</v>
      </c>
      <c r="E67">
        <v>39889</v>
      </c>
      <c r="F67">
        <v>42070000</v>
      </c>
      <c r="G67">
        <v>381852</v>
      </c>
      <c r="H67">
        <v>4207</v>
      </c>
      <c r="I67">
        <v>84</v>
      </c>
      <c r="J67">
        <v>10</v>
      </c>
      <c r="K67">
        <v>48820</v>
      </c>
      <c r="L67" s="1">
        <f>Marketing[[#This Row],[revenue]]/Marketing[[#This Row],[mark_spent]]</f>
        <v>0.12785058085331491</v>
      </c>
      <c r="M67" s="2">
        <f>IF(Marketing[[#This Row],[orders]]=0,"",Marketing[[#This Row],[mark_spent]]/Marketing[[#This Row],[orders]])</f>
        <v>38185.199999999997</v>
      </c>
    </row>
    <row r="68" spans="1:13" x14ac:dyDescent="0.25">
      <c r="A68">
        <v>67</v>
      </c>
      <c r="B68" t="s">
        <v>32</v>
      </c>
      <c r="C68" t="s">
        <v>13</v>
      </c>
      <c r="D68" t="s">
        <v>14</v>
      </c>
      <c r="E68">
        <v>349043</v>
      </c>
      <c r="F68">
        <v>478000</v>
      </c>
      <c r="G68">
        <v>273144</v>
      </c>
      <c r="H68">
        <v>2390</v>
      </c>
      <c r="I68">
        <v>45</v>
      </c>
      <c r="J68">
        <v>5</v>
      </c>
      <c r="K68">
        <v>24905</v>
      </c>
      <c r="L68" s="1">
        <f>Marketing[[#This Row],[revenue]]/Marketing[[#This Row],[mark_spent]]</f>
        <v>9.1179011803297891E-2</v>
      </c>
      <c r="M68" s="2">
        <f>IF(Marketing[[#This Row],[orders]]=0,"",Marketing[[#This Row],[mark_spent]]/Marketing[[#This Row],[orders]])</f>
        <v>54628.800000000003</v>
      </c>
    </row>
    <row r="69" spans="1:13" x14ac:dyDescent="0.25">
      <c r="A69">
        <v>68</v>
      </c>
      <c r="B69" t="s">
        <v>32</v>
      </c>
      <c r="C69" t="s">
        <v>15</v>
      </c>
      <c r="D69" t="s">
        <v>14</v>
      </c>
      <c r="E69">
        <v>348934</v>
      </c>
      <c r="F69">
        <v>659000</v>
      </c>
      <c r="G69">
        <v>384856</v>
      </c>
      <c r="H69">
        <v>3295</v>
      </c>
      <c r="I69">
        <v>66</v>
      </c>
      <c r="J69">
        <v>5</v>
      </c>
      <c r="K69">
        <v>23735</v>
      </c>
      <c r="L69" s="1">
        <f>Marketing[[#This Row],[revenue]]/Marketing[[#This Row],[mark_spent]]</f>
        <v>6.1672417735464696E-2</v>
      </c>
      <c r="M69" s="2">
        <f>IF(Marketing[[#This Row],[orders]]=0,"",Marketing[[#This Row],[mark_spent]]/Marketing[[#This Row],[orders]])</f>
        <v>76971.199999999997</v>
      </c>
    </row>
    <row r="70" spans="1:13" x14ac:dyDescent="0.25">
      <c r="A70">
        <v>69</v>
      </c>
      <c r="B70" t="s">
        <v>32</v>
      </c>
      <c r="C70" t="s">
        <v>16</v>
      </c>
      <c r="D70" t="s">
        <v>17</v>
      </c>
      <c r="E70">
        <v>89459845</v>
      </c>
      <c r="F70">
        <v>44650</v>
      </c>
      <c r="G70">
        <v>6426</v>
      </c>
      <c r="H70">
        <v>893</v>
      </c>
      <c r="I70">
        <v>18</v>
      </c>
      <c r="J70">
        <v>2</v>
      </c>
      <c r="K70">
        <v>14152</v>
      </c>
      <c r="L70" s="1">
        <f>Marketing[[#This Row],[revenue]]/Marketing[[#This Row],[mark_spent]]</f>
        <v>2.2023031434796141</v>
      </c>
      <c r="M70" s="2">
        <f>IF(Marketing[[#This Row],[orders]]=0,"",Marketing[[#This Row],[mark_spent]]/Marketing[[#This Row],[orders]])</f>
        <v>3213</v>
      </c>
    </row>
    <row r="71" spans="1:13" x14ac:dyDescent="0.25">
      <c r="A71">
        <v>70</v>
      </c>
      <c r="B71" t="s">
        <v>32</v>
      </c>
      <c r="C71" t="s">
        <v>18</v>
      </c>
      <c r="D71" t="s">
        <v>17</v>
      </c>
      <c r="E71">
        <v>127823</v>
      </c>
      <c r="F71">
        <v>1137473</v>
      </c>
      <c r="G71">
        <v>181021</v>
      </c>
      <c r="H71">
        <v>2404</v>
      </c>
      <c r="I71">
        <v>48</v>
      </c>
      <c r="J71">
        <v>5</v>
      </c>
      <c r="K71">
        <v>17845</v>
      </c>
      <c r="L71" s="1">
        <f>Marketing[[#This Row],[revenue]]/Marketing[[#This Row],[mark_spent]]</f>
        <v>9.8579722794592886E-2</v>
      </c>
      <c r="M71" s="2">
        <f>IF(Marketing[[#This Row],[orders]]=0,"",Marketing[[#This Row],[mark_spent]]/Marketing[[#This Row],[orders]])</f>
        <v>36204.199999999997</v>
      </c>
    </row>
    <row r="72" spans="1:13" x14ac:dyDescent="0.25">
      <c r="A72">
        <v>71</v>
      </c>
      <c r="B72" t="s">
        <v>32</v>
      </c>
      <c r="C72" t="s">
        <v>19</v>
      </c>
      <c r="D72" t="s">
        <v>1</v>
      </c>
      <c r="E72">
        <v>10934</v>
      </c>
      <c r="F72">
        <v>694624</v>
      </c>
      <c r="G72">
        <v>316801</v>
      </c>
      <c r="H72">
        <v>4505</v>
      </c>
      <c r="I72">
        <v>82</v>
      </c>
      <c r="J72">
        <v>15</v>
      </c>
      <c r="K72">
        <v>119715</v>
      </c>
      <c r="L72" s="1">
        <f>Marketing[[#This Row],[revenue]]/Marketing[[#This Row],[mark_spent]]</f>
        <v>0.37788706475042694</v>
      </c>
      <c r="M72" s="2">
        <f>IF(Marketing[[#This Row],[orders]]=0,"",Marketing[[#This Row],[mark_spent]]/Marketing[[#This Row],[orders]])</f>
        <v>21120.066666666666</v>
      </c>
    </row>
    <row r="73" spans="1:13" x14ac:dyDescent="0.25">
      <c r="A73">
        <v>72</v>
      </c>
      <c r="B73" t="s">
        <v>32</v>
      </c>
      <c r="C73" t="s">
        <v>20</v>
      </c>
      <c r="D73" t="s">
        <v>14</v>
      </c>
      <c r="E73">
        <v>9034945</v>
      </c>
      <c r="F73">
        <v>1246126</v>
      </c>
      <c r="G73">
        <v>379659</v>
      </c>
      <c r="H73">
        <v>2696</v>
      </c>
      <c r="I73">
        <v>100</v>
      </c>
      <c r="J73">
        <v>11</v>
      </c>
      <c r="K73">
        <v>65791</v>
      </c>
      <c r="L73" s="1">
        <f>Marketing[[#This Row],[revenue]]/Marketing[[#This Row],[mark_spent]]</f>
        <v>0.17328971524446937</v>
      </c>
      <c r="M73" s="2">
        <f>IF(Marketing[[#This Row],[orders]]=0,"",Marketing[[#This Row],[mark_spent]]/Marketing[[#This Row],[orders]])</f>
        <v>34514.454545454544</v>
      </c>
    </row>
    <row r="74" spans="1:13" x14ac:dyDescent="0.25">
      <c r="A74">
        <v>73</v>
      </c>
      <c r="B74" t="s">
        <v>32</v>
      </c>
      <c r="C74" t="s">
        <v>21</v>
      </c>
      <c r="D74" t="s">
        <v>14</v>
      </c>
      <c r="E74">
        <v>983498</v>
      </c>
      <c r="F74">
        <v>567096</v>
      </c>
      <c r="G74">
        <v>674794</v>
      </c>
      <c r="H74">
        <v>5103</v>
      </c>
      <c r="I74">
        <v>199</v>
      </c>
      <c r="J74">
        <v>2</v>
      </c>
      <c r="K74">
        <v>3962</v>
      </c>
      <c r="L74" s="1">
        <f>Marketing[[#This Row],[revenue]]/Marketing[[#This Row],[mark_spent]]</f>
        <v>5.8714215004875558E-3</v>
      </c>
      <c r="M74" s="2">
        <f>IF(Marketing[[#This Row],[orders]]=0,"",Marketing[[#This Row],[mark_spent]]/Marketing[[#This Row],[orders]])</f>
        <v>337397</v>
      </c>
    </row>
    <row r="75" spans="1:13" x14ac:dyDescent="0.25">
      <c r="A75">
        <v>74</v>
      </c>
      <c r="B75" t="s">
        <v>32</v>
      </c>
      <c r="C75" t="s">
        <v>22</v>
      </c>
      <c r="D75" t="s">
        <v>14</v>
      </c>
      <c r="E75">
        <v>4387490</v>
      </c>
      <c r="F75">
        <v>9938</v>
      </c>
      <c r="G75">
        <v>343544</v>
      </c>
      <c r="H75">
        <v>294</v>
      </c>
      <c r="I75">
        <v>6</v>
      </c>
      <c r="J75">
        <v>1</v>
      </c>
      <c r="K75">
        <v>4981</v>
      </c>
      <c r="L75" s="1">
        <f>Marketing[[#This Row],[revenue]]/Marketing[[#This Row],[mark_spent]]</f>
        <v>1.4498870595906202E-2</v>
      </c>
      <c r="M75" s="2">
        <f>IF(Marketing[[#This Row],[orders]]=0,"",Marketing[[#This Row],[mark_spent]]/Marketing[[#This Row],[orders]])</f>
        <v>343544</v>
      </c>
    </row>
    <row r="76" spans="1:13" x14ac:dyDescent="0.25">
      <c r="A76">
        <v>75</v>
      </c>
      <c r="B76" t="s">
        <v>32</v>
      </c>
      <c r="C76" t="s">
        <v>23</v>
      </c>
      <c r="D76" t="s">
        <v>14</v>
      </c>
      <c r="E76">
        <v>544756</v>
      </c>
      <c r="F76">
        <v>174221</v>
      </c>
      <c r="G76">
        <v>101049</v>
      </c>
      <c r="H76">
        <v>1197</v>
      </c>
      <c r="I76">
        <v>6</v>
      </c>
      <c r="J76">
        <v>1</v>
      </c>
      <c r="K76">
        <v>981</v>
      </c>
      <c r="L76" s="1">
        <f>Marketing[[#This Row],[revenue]]/Marketing[[#This Row],[mark_spent]]</f>
        <v>9.7081613870498469E-3</v>
      </c>
      <c r="M76" s="2">
        <f>IF(Marketing[[#This Row],[orders]]=0,"",Marketing[[#This Row],[mark_spent]]/Marketing[[#This Row],[orders]])</f>
        <v>101049</v>
      </c>
    </row>
    <row r="77" spans="1:13" x14ac:dyDescent="0.25">
      <c r="A77">
        <v>76</v>
      </c>
      <c r="B77" t="s">
        <v>32</v>
      </c>
      <c r="C77" t="s">
        <v>24</v>
      </c>
      <c r="D77" t="s">
        <v>1</v>
      </c>
      <c r="E77">
        <v>374754</v>
      </c>
      <c r="F77">
        <v>300700</v>
      </c>
      <c r="G77">
        <v>461676</v>
      </c>
      <c r="H77">
        <v>3007</v>
      </c>
      <c r="I77">
        <v>93</v>
      </c>
      <c r="J77">
        <v>12</v>
      </c>
      <c r="K77">
        <v>68076</v>
      </c>
      <c r="L77" s="1">
        <f>Marketing[[#This Row],[revenue]]/Marketing[[#This Row],[mark_spent]]</f>
        <v>0.14745405869051023</v>
      </c>
      <c r="M77" s="2">
        <f>IF(Marketing[[#This Row],[orders]]=0,"",Marketing[[#This Row],[mark_spent]]/Marketing[[#This Row],[orders]])</f>
        <v>38473</v>
      </c>
    </row>
    <row r="78" spans="1:13" x14ac:dyDescent="0.25">
      <c r="A78">
        <v>77</v>
      </c>
      <c r="B78" t="s">
        <v>32</v>
      </c>
      <c r="C78" t="s">
        <v>25</v>
      </c>
      <c r="D78" t="s">
        <v>26</v>
      </c>
      <c r="E78">
        <v>39889</v>
      </c>
      <c r="F78">
        <v>3957603</v>
      </c>
      <c r="G78">
        <v>799877</v>
      </c>
      <c r="H78">
        <v>4203</v>
      </c>
      <c r="I78">
        <v>142</v>
      </c>
      <c r="J78">
        <v>27</v>
      </c>
      <c r="K78">
        <v>90504</v>
      </c>
      <c r="L78" s="1">
        <f>Marketing[[#This Row],[revenue]]/Marketing[[#This Row],[mark_spent]]</f>
        <v>0.11314739641219837</v>
      </c>
      <c r="M78" s="2">
        <f>IF(Marketing[[#This Row],[orders]]=0,"",Marketing[[#This Row],[mark_spent]]/Marketing[[#This Row],[orders]])</f>
        <v>29625.074074074073</v>
      </c>
    </row>
    <row r="79" spans="1:13" x14ac:dyDescent="0.25">
      <c r="A79">
        <v>78</v>
      </c>
      <c r="B79" t="s">
        <v>33</v>
      </c>
      <c r="C79" t="s">
        <v>13</v>
      </c>
      <c r="D79" t="s">
        <v>14</v>
      </c>
      <c r="E79">
        <v>349043</v>
      </c>
      <c r="F79">
        <v>479000</v>
      </c>
      <c r="G79">
        <v>272104</v>
      </c>
      <c r="H79">
        <v>2395</v>
      </c>
      <c r="I79">
        <v>36</v>
      </c>
      <c r="J79">
        <v>5</v>
      </c>
      <c r="K79">
        <v>22345</v>
      </c>
      <c r="L79" s="1">
        <f>Marketing[[#This Row],[revenue]]/Marketing[[#This Row],[mark_spent]]</f>
        <v>8.2119336724193692E-2</v>
      </c>
      <c r="M79" s="2">
        <f>IF(Marketing[[#This Row],[orders]]=0,"",Marketing[[#This Row],[mark_spent]]/Marketing[[#This Row],[orders]])</f>
        <v>54420.800000000003</v>
      </c>
    </row>
    <row r="80" spans="1:13" x14ac:dyDescent="0.25">
      <c r="A80">
        <v>79</v>
      </c>
      <c r="B80" t="s">
        <v>33</v>
      </c>
      <c r="C80" t="s">
        <v>15</v>
      </c>
      <c r="D80" t="s">
        <v>14</v>
      </c>
      <c r="E80">
        <v>348934</v>
      </c>
      <c r="F80">
        <v>472656</v>
      </c>
      <c r="G80">
        <v>337528</v>
      </c>
      <c r="H80">
        <v>3290</v>
      </c>
      <c r="I80">
        <v>66</v>
      </c>
      <c r="J80">
        <v>5</v>
      </c>
      <c r="K80">
        <v>28670</v>
      </c>
      <c r="L80" s="1">
        <f>Marketing[[#This Row],[revenue]]/Marketing[[#This Row],[mark_spent]]</f>
        <v>8.4941101182716694E-2</v>
      </c>
      <c r="M80" s="2">
        <f>IF(Marketing[[#This Row],[orders]]=0,"",Marketing[[#This Row],[mark_spent]]/Marketing[[#This Row],[orders]])</f>
        <v>67505.600000000006</v>
      </c>
    </row>
    <row r="81" spans="1:13" x14ac:dyDescent="0.25">
      <c r="A81">
        <v>80</v>
      </c>
      <c r="B81" t="s">
        <v>33</v>
      </c>
      <c r="C81" t="s">
        <v>16</v>
      </c>
      <c r="D81" t="s">
        <v>17</v>
      </c>
      <c r="E81">
        <v>89459845</v>
      </c>
      <c r="F81">
        <v>51350</v>
      </c>
      <c r="G81">
        <v>691885</v>
      </c>
      <c r="H81">
        <v>904</v>
      </c>
      <c r="I81">
        <v>20</v>
      </c>
      <c r="J81">
        <v>2</v>
      </c>
      <c r="K81">
        <v>16240</v>
      </c>
      <c r="L81" s="1">
        <f>Marketing[[#This Row],[revenue]]/Marketing[[#This Row],[mark_spent]]</f>
        <v>2.3472108804208792E-2</v>
      </c>
      <c r="M81" s="2">
        <f>IF(Marketing[[#This Row],[orders]]=0,"",Marketing[[#This Row],[mark_spent]]/Marketing[[#This Row],[orders]])</f>
        <v>345942.5</v>
      </c>
    </row>
    <row r="82" spans="1:13" x14ac:dyDescent="0.25">
      <c r="A82">
        <v>81</v>
      </c>
      <c r="B82" t="s">
        <v>33</v>
      </c>
      <c r="C82" t="s">
        <v>18</v>
      </c>
      <c r="D82" t="s">
        <v>17</v>
      </c>
      <c r="E82">
        <v>127823</v>
      </c>
      <c r="F82">
        <v>478000</v>
      </c>
      <c r="G82">
        <v>165675</v>
      </c>
      <c r="H82">
        <v>2390</v>
      </c>
      <c r="I82">
        <v>48</v>
      </c>
      <c r="J82">
        <v>5</v>
      </c>
      <c r="K82">
        <v>16995</v>
      </c>
      <c r="L82" s="1">
        <f>Marketing[[#This Row],[revenue]]/Marketing[[#This Row],[mark_spent]]</f>
        <v>0.10258035310095065</v>
      </c>
      <c r="M82" s="2">
        <f>IF(Marketing[[#This Row],[orders]]=0,"",Marketing[[#This Row],[mark_spent]]/Marketing[[#This Row],[orders]])</f>
        <v>33135</v>
      </c>
    </row>
    <row r="83" spans="1:13" x14ac:dyDescent="0.25">
      <c r="A83">
        <v>82</v>
      </c>
      <c r="B83" t="s">
        <v>33</v>
      </c>
      <c r="C83" t="s">
        <v>19</v>
      </c>
      <c r="D83" t="s">
        <v>1</v>
      </c>
      <c r="E83">
        <v>10934</v>
      </c>
      <c r="F83">
        <v>685530</v>
      </c>
      <c r="G83">
        <v>338926</v>
      </c>
      <c r="H83">
        <v>4491</v>
      </c>
      <c r="I83">
        <v>79</v>
      </c>
      <c r="J83">
        <v>16</v>
      </c>
      <c r="K83">
        <v>120176</v>
      </c>
      <c r="L83" s="1">
        <f>Marketing[[#This Row],[revenue]]/Marketing[[#This Row],[mark_spent]]</f>
        <v>0.35457887562476764</v>
      </c>
      <c r="M83" s="2">
        <f>IF(Marketing[[#This Row],[orders]]=0,"",Marketing[[#This Row],[mark_spent]]/Marketing[[#This Row],[orders]])</f>
        <v>21182.875</v>
      </c>
    </row>
    <row r="84" spans="1:13" x14ac:dyDescent="0.25">
      <c r="A84">
        <v>83</v>
      </c>
      <c r="B84" t="s">
        <v>33</v>
      </c>
      <c r="C84" t="s">
        <v>20</v>
      </c>
      <c r="D84" t="s">
        <v>14</v>
      </c>
      <c r="E84">
        <v>9034945</v>
      </c>
      <c r="F84">
        <v>472836</v>
      </c>
      <c r="G84">
        <v>33076</v>
      </c>
      <c r="H84">
        <v>2690</v>
      </c>
      <c r="I84">
        <v>1</v>
      </c>
      <c r="J84">
        <v>0</v>
      </c>
      <c r="K84">
        <v>0</v>
      </c>
      <c r="L84" s="1">
        <f>Marketing[[#This Row],[revenue]]/Marketing[[#This Row],[mark_spent]]</f>
        <v>0</v>
      </c>
      <c r="M84" s="2" t="str">
        <f>IF(Marketing[[#This Row],[orders]]=0,"",Marketing[[#This Row],[mark_spent]]/Marketing[[#This Row],[orders]])</f>
        <v/>
      </c>
    </row>
    <row r="85" spans="1:13" x14ac:dyDescent="0.25">
      <c r="A85">
        <v>84</v>
      </c>
      <c r="B85" t="s">
        <v>33</v>
      </c>
      <c r="C85" t="s">
        <v>21</v>
      </c>
      <c r="D85" t="s">
        <v>14</v>
      </c>
      <c r="E85">
        <v>983498</v>
      </c>
      <c r="F85">
        <v>1020000</v>
      </c>
      <c r="G85">
        <v>20573</v>
      </c>
      <c r="H85">
        <v>5100</v>
      </c>
      <c r="I85">
        <v>102</v>
      </c>
      <c r="J85">
        <v>1</v>
      </c>
      <c r="K85">
        <v>1981</v>
      </c>
      <c r="L85" s="1">
        <f>Marketing[[#This Row],[revenue]]/Marketing[[#This Row],[mark_spent]]</f>
        <v>9.6291255529091527E-2</v>
      </c>
      <c r="M85" s="2">
        <f>IF(Marketing[[#This Row],[orders]]=0,"",Marketing[[#This Row],[mark_spent]]/Marketing[[#This Row],[orders]])</f>
        <v>20573</v>
      </c>
    </row>
    <row r="86" spans="1:13" x14ac:dyDescent="0.25">
      <c r="A86">
        <v>85</v>
      </c>
      <c r="B86" t="s">
        <v>33</v>
      </c>
      <c r="C86" t="s">
        <v>22</v>
      </c>
      <c r="D86" t="s">
        <v>14</v>
      </c>
      <c r="E86">
        <v>4387490</v>
      </c>
      <c r="F86">
        <v>10067</v>
      </c>
      <c r="G86">
        <v>433604</v>
      </c>
      <c r="H86">
        <v>302</v>
      </c>
      <c r="I86">
        <v>10</v>
      </c>
      <c r="J86">
        <v>2</v>
      </c>
      <c r="K86">
        <v>10036</v>
      </c>
      <c r="L86" s="1">
        <f>Marketing[[#This Row],[revenue]]/Marketing[[#This Row],[mark_spent]]</f>
        <v>2.3145542937795777E-2</v>
      </c>
      <c r="M86" s="2">
        <f>IF(Marketing[[#This Row],[orders]]=0,"",Marketing[[#This Row],[mark_spent]]/Marketing[[#This Row],[orders]])</f>
        <v>216802</v>
      </c>
    </row>
    <row r="87" spans="1:13" x14ac:dyDescent="0.25">
      <c r="A87">
        <v>86</v>
      </c>
      <c r="B87" t="s">
        <v>33</v>
      </c>
      <c r="C87" t="s">
        <v>23</v>
      </c>
      <c r="D87" t="s">
        <v>14</v>
      </c>
      <c r="E87">
        <v>544756</v>
      </c>
      <c r="F87">
        <v>120200</v>
      </c>
      <c r="G87">
        <v>40099</v>
      </c>
      <c r="H87">
        <v>1202</v>
      </c>
      <c r="I87">
        <v>24</v>
      </c>
      <c r="J87">
        <v>5</v>
      </c>
      <c r="K87">
        <v>4905</v>
      </c>
      <c r="L87" s="1">
        <f>Marketing[[#This Row],[revenue]]/Marketing[[#This Row],[mark_spent]]</f>
        <v>0.12232225242524751</v>
      </c>
      <c r="M87" s="2">
        <f>IF(Marketing[[#This Row],[orders]]=0,"",Marketing[[#This Row],[mark_spent]]/Marketing[[#This Row],[orders]])</f>
        <v>8019.8</v>
      </c>
    </row>
    <row r="88" spans="1:13" x14ac:dyDescent="0.25">
      <c r="A88">
        <v>87</v>
      </c>
      <c r="B88" t="s">
        <v>33</v>
      </c>
      <c r="C88" t="s">
        <v>24</v>
      </c>
      <c r="D88" t="s">
        <v>1</v>
      </c>
      <c r="E88">
        <v>374754</v>
      </c>
      <c r="F88">
        <v>361650</v>
      </c>
      <c r="G88">
        <v>311543</v>
      </c>
      <c r="H88">
        <v>2991</v>
      </c>
      <c r="I88">
        <v>60</v>
      </c>
      <c r="J88">
        <v>9</v>
      </c>
      <c r="K88">
        <v>45027</v>
      </c>
      <c r="L88" s="1">
        <f>Marketing[[#This Row],[revenue]]/Marketing[[#This Row],[mark_spent]]</f>
        <v>0.1445290056268316</v>
      </c>
      <c r="M88" s="2">
        <f>IF(Marketing[[#This Row],[orders]]=0,"",Marketing[[#This Row],[mark_spent]]/Marketing[[#This Row],[orders]])</f>
        <v>34615.888888888891</v>
      </c>
    </row>
    <row r="89" spans="1:13" x14ac:dyDescent="0.25">
      <c r="A89">
        <v>88</v>
      </c>
      <c r="B89" t="s">
        <v>33</v>
      </c>
      <c r="C89" t="s">
        <v>25</v>
      </c>
      <c r="D89" t="s">
        <v>26</v>
      </c>
      <c r="E89">
        <v>39889</v>
      </c>
      <c r="F89">
        <v>2233790</v>
      </c>
      <c r="G89">
        <v>318839</v>
      </c>
      <c r="H89">
        <v>4197</v>
      </c>
      <c r="I89">
        <v>84</v>
      </c>
      <c r="J89">
        <v>10</v>
      </c>
      <c r="K89">
        <v>42280</v>
      </c>
      <c r="L89" s="1">
        <f>Marketing[[#This Row],[revenue]]/Marketing[[#This Row],[mark_spent]]</f>
        <v>0.13260611154846177</v>
      </c>
      <c r="M89" s="2">
        <f>IF(Marketing[[#This Row],[orders]]=0,"",Marketing[[#This Row],[mark_spent]]/Marketing[[#This Row],[orders]])</f>
        <v>31883.9</v>
      </c>
    </row>
    <row r="90" spans="1:13" x14ac:dyDescent="0.25">
      <c r="A90">
        <v>89</v>
      </c>
      <c r="B90" t="s">
        <v>34</v>
      </c>
      <c r="C90" t="s">
        <v>13</v>
      </c>
      <c r="D90" t="s">
        <v>14</v>
      </c>
      <c r="E90">
        <v>349043</v>
      </c>
      <c r="F90">
        <v>478600</v>
      </c>
      <c r="G90">
        <v>490365</v>
      </c>
      <c r="H90">
        <v>2393</v>
      </c>
      <c r="I90">
        <v>68</v>
      </c>
      <c r="J90">
        <v>9</v>
      </c>
      <c r="K90">
        <v>42813</v>
      </c>
      <c r="L90" s="1">
        <f>Marketing[[#This Row],[revenue]]/Marketing[[#This Row],[mark_spent]]</f>
        <v>8.7308433513811137E-2</v>
      </c>
      <c r="M90" s="2">
        <f>IF(Marketing[[#This Row],[orders]]=0,"",Marketing[[#This Row],[mark_spent]]/Marketing[[#This Row],[orders]])</f>
        <v>54485</v>
      </c>
    </row>
    <row r="91" spans="1:13" x14ac:dyDescent="0.25">
      <c r="A91">
        <v>90</v>
      </c>
      <c r="B91" t="s">
        <v>34</v>
      </c>
      <c r="C91" t="s">
        <v>15</v>
      </c>
      <c r="D91" t="s">
        <v>14</v>
      </c>
      <c r="E91">
        <v>348934</v>
      </c>
      <c r="F91">
        <v>555116</v>
      </c>
      <c r="G91">
        <v>621194</v>
      </c>
      <c r="H91">
        <v>3303</v>
      </c>
      <c r="I91">
        <v>96</v>
      </c>
      <c r="J91">
        <v>11</v>
      </c>
      <c r="K91">
        <v>54791</v>
      </c>
      <c r="L91" s="1">
        <f>Marketing[[#This Row],[revenue]]/Marketing[[#This Row],[mark_spent]]</f>
        <v>8.8202719279323369E-2</v>
      </c>
      <c r="M91" s="2">
        <f>IF(Marketing[[#This Row],[orders]]=0,"",Marketing[[#This Row],[mark_spent]]/Marketing[[#This Row],[orders]])</f>
        <v>56472.181818181816</v>
      </c>
    </row>
    <row r="92" spans="1:13" x14ac:dyDescent="0.25">
      <c r="A92">
        <v>91</v>
      </c>
      <c r="B92" t="s">
        <v>34</v>
      </c>
      <c r="C92" t="s">
        <v>16</v>
      </c>
      <c r="D92" t="s">
        <v>17</v>
      </c>
      <c r="E92">
        <v>89459845</v>
      </c>
      <c r="F92">
        <v>44900</v>
      </c>
      <c r="G92">
        <v>309521</v>
      </c>
      <c r="H92">
        <v>898</v>
      </c>
      <c r="I92">
        <v>5</v>
      </c>
      <c r="J92">
        <v>1</v>
      </c>
      <c r="K92">
        <v>7998</v>
      </c>
      <c r="L92" s="1">
        <f>Marketing[[#This Row],[revenue]]/Marketing[[#This Row],[mark_spent]]</f>
        <v>2.5839926854720682E-2</v>
      </c>
      <c r="M92" s="2">
        <f>IF(Marketing[[#This Row],[orders]]=0,"",Marketing[[#This Row],[mark_spent]]/Marketing[[#This Row],[orders]])</f>
        <v>309521</v>
      </c>
    </row>
    <row r="93" spans="1:13" x14ac:dyDescent="0.25">
      <c r="A93">
        <v>92</v>
      </c>
      <c r="B93" t="s">
        <v>34</v>
      </c>
      <c r="C93" t="s">
        <v>18</v>
      </c>
      <c r="D93" t="s">
        <v>17</v>
      </c>
      <c r="E93">
        <v>127823</v>
      </c>
      <c r="F93">
        <v>478600</v>
      </c>
      <c r="G93">
        <v>202993</v>
      </c>
      <c r="H93">
        <v>2393</v>
      </c>
      <c r="I93">
        <v>48</v>
      </c>
      <c r="J93">
        <v>5</v>
      </c>
      <c r="K93">
        <v>14905</v>
      </c>
      <c r="L93" s="1">
        <f>Marketing[[#This Row],[revenue]]/Marketing[[#This Row],[mark_spent]]</f>
        <v>7.342617725734385E-2</v>
      </c>
      <c r="M93" s="2">
        <f>IF(Marketing[[#This Row],[orders]]=0,"",Marketing[[#This Row],[mark_spent]]/Marketing[[#This Row],[orders]])</f>
        <v>40598.6</v>
      </c>
    </row>
    <row r="94" spans="1:13" x14ac:dyDescent="0.25">
      <c r="A94">
        <v>93</v>
      </c>
      <c r="B94" t="s">
        <v>34</v>
      </c>
      <c r="C94" t="s">
        <v>19</v>
      </c>
      <c r="D94" t="s">
        <v>1</v>
      </c>
      <c r="E94">
        <v>10934</v>
      </c>
      <c r="F94">
        <v>491821</v>
      </c>
      <c r="G94">
        <v>27833</v>
      </c>
      <c r="H94">
        <v>4495</v>
      </c>
      <c r="I94">
        <v>90</v>
      </c>
      <c r="J94">
        <v>18</v>
      </c>
      <c r="K94">
        <v>143658</v>
      </c>
      <c r="L94" s="1">
        <f>Marketing[[#This Row],[revenue]]/Marketing[[#This Row],[mark_spent]]</f>
        <v>5.1614270829590776</v>
      </c>
      <c r="M94" s="2">
        <f>IF(Marketing[[#This Row],[orders]]=0,"",Marketing[[#This Row],[mark_spent]]/Marketing[[#This Row],[orders]])</f>
        <v>1546.2777777777778</v>
      </c>
    </row>
    <row r="95" spans="1:13" x14ac:dyDescent="0.25">
      <c r="A95">
        <v>94</v>
      </c>
      <c r="B95" t="s">
        <v>34</v>
      </c>
      <c r="C95" t="s">
        <v>20</v>
      </c>
      <c r="D95" t="s">
        <v>14</v>
      </c>
      <c r="E95">
        <v>9034945</v>
      </c>
      <c r="F95">
        <v>759532</v>
      </c>
      <c r="G95">
        <v>10317</v>
      </c>
      <c r="H95">
        <v>2701</v>
      </c>
      <c r="I95">
        <v>19</v>
      </c>
      <c r="J95">
        <v>3</v>
      </c>
      <c r="K95">
        <v>19800</v>
      </c>
      <c r="L95" s="1">
        <f>Marketing[[#This Row],[revenue]]/Marketing[[#This Row],[mark_spent]]</f>
        <v>1.9191625472521081</v>
      </c>
      <c r="M95" s="2">
        <f>IF(Marketing[[#This Row],[orders]]=0,"",Marketing[[#This Row],[mark_spent]]/Marketing[[#This Row],[orders]])</f>
        <v>3439</v>
      </c>
    </row>
    <row r="96" spans="1:13" x14ac:dyDescent="0.25">
      <c r="A96">
        <v>95</v>
      </c>
      <c r="B96" t="s">
        <v>34</v>
      </c>
      <c r="C96" t="s">
        <v>21</v>
      </c>
      <c r="D96" t="s">
        <v>14</v>
      </c>
      <c r="E96">
        <v>983498</v>
      </c>
      <c r="F96">
        <v>1022000</v>
      </c>
      <c r="G96">
        <v>739826</v>
      </c>
      <c r="H96">
        <v>5110</v>
      </c>
      <c r="I96">
        <v>102</v>
      </c>
      <c r="J96">
        <v>3</v>
      </c>
      <c r="K96">
        <v>5943</v>
      </c>
      <c r="L96" s="1">
        <f>Marketing[[#This Row],[revenue]]/Marketing[[#This Row],[mark_spent]]</f>
        <v>8.0329699145474751E-3</v>
      </c>
      <c r="M96" s="2">
        <f>IF(Marketing[[#This Row],[orders]]=0,"",Marketing[[#This Row],[mark_spent]]/Marketing[[#This Row],[orders]])</f>
        <v>246608.66666666666</v>
      </c>
    </row>
    <row r="97" spans="1:13" x14ac:dyDescent="0.25">
      <c r="A97">
        <v>96</v>
      </c>
      <c r="B97" t="s">
        <v>34</v>
      </c>
      <c r="C97" t="s">
        <v>22</v>
      </c>
      <c r="D97" t="s">
        <v>14</v>
      </c>
      <c r="E97">
        <v>4387490</v>
      </c>
      <c r="F97">
        <v>9721</v>
      </c>
      <c r="G97">
        <v>215237</v>
      </c>
      <c r="H97">
        <v>290</v>
      </c>
      <c r="I97">
        <v>6</v>
      </c>
      <c r="J97">
        <v>1</v>
      </c>
      <c r="K97">
        <v>4353</v>
      </c>
      <c r="L97" s="1">
        <f>Marketing[[#This Row],[revenue]]/Marketing[[#This Row],[mark_spent]]</f>
        <v>2.0224217955091363E-2</v>
      </c>
      <c r="M97" s="2">
        <f>IF(Marketing[[#This Row],[orders]]=0,"",Marketing[[#This Row],[mark_spent]]/Marketing[[#This Row],[orders]])</f>
        <v>215237</v>
      </c>
    </row>
    <row r="98" spans="1:13" x14ac:dyDescent="0.25">
      <c r="A98">
        <v>97</v>
      </c>
      <c r="B98" t="s">
        <v>34</v>
      </c>
      <c r="C98" t="s">
        <v>23</v>
      </c>
      <c r="D98" t="s">
        <v>14</v>
      </c>
      <c r="E98">
        <v>544756</v>
      </c>
      <c r="F98">
        <v>189854</v>
      </c>
      <c r="G98">
        <v>290914</v>
      </c>
      <c r="H98">
        <v>1198</v>
      </c>
      <c r="I98">
        <v>24</v>
      </c>
      <c r="J98">
        <v>3</v>
      </c>
      <c r="K98">
        <v>2943</v>
      </c>
      <c r="L98" s="1">
        <f>Marketing[[#This Row],[revenue]]/Marketing[[#This Row],[mark_spent]]</f>
        <v>1.0116391785888613E-2</v>
      </c>
      <c r="M98" s="2">
        <f>IF(Marketing[[#This Row],[orders]]=0,"",Marketing[[#This Row],[mark_spent]]/Marketing[[#This Row],[orders]])</f>
        <v>96971.333333333328</v>
      </c>
    </row>
    <row r="99" spans="1:13" x14ac:dyDescent="0.25">
      <c r="A99">
        <v>98</v>
      </c>
      <c r="B99" t="s">
        <v>34</v>
      </c>
      <c r="C99" t="s">
        <v>24</v>
      </c>
      <c r="D99" t="s">
        <v>1</v>
      </c>
      <c r="E99">
        <v>374754</v>
      </c>
      <c r="F99">
        <v>346068</v>
      </c>
      <c r="G99">
        <v>576424</v>
      </c>
      <c r="H99">
        <v>3006</v>
      </c>
      <c r="I99">
        <v>99</v>
      </c>
      <c r="J99">
        <v>15</v>
      </c>
      <c r="K99">
        <v>89460</v>
      </c>
      <c r="L99" s="1">
        <f>Marketing[[#This Row],[revenue]]/Marketing[[#This Row],[mark_spent]]</f>
        <v>0.15519825683871594</v>
      </c>
      <c r="M99" s="2">
        <f>IF(Marketing[[#This Row],[orders]]=0,"",Marketing[[#This Row],[mark_spent]]/Marketing[[#This Row],[orders]])</f>
        <v>38428.26666666667</v>
      </c>
    </row>
    <row r="100" spans="1:13" x14ac:dyDescent="0.25">
      <c r="A100">
        <v>99</v>
      </c>
      <c r="B100" t="s">
        <v>34</v>
      </c>
      <c r="C100" t="s">
        <v>25</v>
      </c>
      <c r="D100" t="s">
        <v>26</v>
      </c>
      <c r="E100">
        <v>39889</v>
      </c>
      <c r="F100">
        <v>3736884</v>
      </c>
      <c r="G100">
        <v>447317</v>
      </c>
      <c r="H100">
        <v>4190</v>
      </c>
      <c r="I100">
        <v>84</v>
      </c>
      <c r="J100">
        <v>13</v>
      </c>
      <c r="K100">
        <v>51259</v>
      </c>
      <c r="L100" s="1">
        <f>Marketing[[#This Row],[revenue]]/Marketing[[#This Row],[mark_spent]]</f>
        <v>0.11459211252869889</v>
      </c>
      <c r="M100" s="2">
        <f>IF(Marketing[[#This Row],[orders]]=0,"",Marketing[[#This Row],[mark_spent]]/Marketing[[#This Row],[orders]])</f>
        <v>34409</v>
      </c>
    </row>
    <row r="101" spans="1:13" x14ac:dyDescent="0.25">
      <c r="A101">
        <v>100</v>
      </c>
      <c r="B101" t="s">
        <v>35</v>
      </c>
      <c r="C101" t="s">
        <v>13</v>
      </c>
      <c r="D101" t="s">
        <v>14</v>
      </c>
      <c r="E101">
        <v>349043</v>
      </c>
      <c r="F101">
        <v>961800</v>
      </c>
      <c r="G101">
        <v>433864</v>
      </c>
      <c r="H101">
        <v>4809</v>
      </c>
      <c r="I101">
        <v>96</v>
      </c>
      <c r="J101">
        <v>8</v>
      </c>
      <c r="K101">
        <v>42400</v>
      </c>
      <c r="L101" s="1">
        <f>Marketing[[#This Row],[revenue]]/Marketing[[#This Row],[mark_spent]]</f>
        <v>9.7726476499548243E-2</v>
      </c>
      <c r="M101" s="2">
        <f>IF(Marketing[[#This Row],[orders]]=0,"",Marketing[[#This Row],[mark_spent]]/Marketing[[#This Row],[orders]])</f>
        <v>54233</v>
      </c>
    </row>
    <row r="102" spans="1:13" x14ac:dyDescent="0.25">
      <c r="A102">
        <v>101</v>
      </c>
      <c r="B102" t="s">
        <v>35</v>
      </c>
      <c r="C102" t="s">
        <v>15</v>
      </c>
      <c r="D102" t="s">
        <v>14</v>
      </c>
      <c r="E102">
        <v>348934</v>
      </c>
      <c r="F102">
        <v>852250</v>
      </c>
      <c r="G102">
        <v>438659</v>
      </c>
      <c r="H102">
        <v>6596</v>
      </c>
      <c r="I102">
        <v>132</v>
      </c>
      <c r="J102">
        <v>7</v>
      </c>
      <c r="K102">
        <v>34867</v>
      </c>
      <c r="L102" s="1">
        <f>Marketing[[#This Row],[revenue]]/Marketing[[#This Row],[mark_spent]]</f>
        <v>7.9485431736268944E-2</v>
      </c>
      <c r="M102" s="2">
        <f>IF(Marketing[[#This Row],[orders]]=0,"",Marketing[[#This Row],[mark_spent]]/Marketing[[#This Row],[orders]])</f>
        <v>62665.571428571428</v>
      </c>
    </row>
    <row r="103" spans="1:13" x14ac:dyDescent="0.25">
      <c r="A103">
        <v>102</v>
      </c>
      <c r="B103" t="s">
        <v>35</v>
      </c>
      <c r="C103" t="s">
        <v>16</v>
      </c>
      <c r="D103" t="s">
        <v>17</v>
      </c>
      <c r="E103">
        <v>89459845</v>
      </c>
      <c r="F103">
        <v>108748</v>
      </c>
      <c r="G103">
        <v>518831</v>
      </c>
      <c r="H103">
        <v>1797</v>
      </c>
      <c r="I103">
        <v>57</v>
      </c>
      <c r="J103">
        <v>11</v>
      </c>
      <c r="K103">
        <v>86724</v>
      </c>
      <c r="L103" s="1">
        <f>Marketing[[#This Row],[revenue]]/Marketing[[#This Row],[mark_spent]]</f>
        <v>0.16715269519361797</v>
      </c>
      <c r="M103" s="2">
        <f>IF(Marketing[[#This Row],[orders]]=0,"",Marketing[[#This Row],[mark_spent]]/Marketing[[#This Row],[orders]])</f>
        <v>47166.454545454544</v>
      </c>
    </row>
    <row r="104" spans="1:13" x14ac:dyDescent="0.25">
      <c r="A104">
        <v>103</v>
      </c>
      <c r="B104" t="s">
        <v>35</v>
      </c>
      <c r="C104" t="s">
        <v>18</v>
      </c>
      <c r="D104" t="s">
        <v>17</v>
      </c>
      <c r="E104">
        <v>127823</v>
      </c>
      <c r="F104">
        <v>797238</v>
      </c>
      <c r="G104">
        <v>675778</v>
      </c>
      <c r="H104">
        <v>4797</v>
      </c>
      <c r="I104">
        <v>154</v>
      </c>
      <c r="J104">
        <v>19</v>
      </c>
      <c r="K104">
        <v>42598</v>
      </c>
      <c r="L104" s="1">
        <f>Marketing[[#This Row],[revenue]]/Marketing[[#This Row],[mark_spent]]</f>
        <v>6.303549390480305E-2</v>
      </c>
      <c r="M104" s="2">
        <f>IF(Marketing[[#This Row],[orders]]=0,"",Marketing[[#This Row],[mark_spent]]/Marketing[[#This Row],[orders]])</f>
        <v>35567.26315789474</v>
      </c>
    </row>
    <row r="105" spans="1:13" x14ac:dyDescent="0.25">
      <c r="A105">
        <v>104</v>
      </c>
      <c r="B105" t="s">
        <v>35</v>
      </c>
      <c r="C105" t="s">
        <v>19</v>
      </c>
      <c r="D105" t="s">
        <v>1</v>
      </c>
      <c r="E105">
        <v>10934</v>
      </c>
      <c r="F105">
        <v>1469962</v>
      </c>
      <c r="G105">
        <v>198314</v>
      </c>
      <c r="H105">
        <v>8998</v>
      </c>
      <c r="I105">
        <v>80</v>
      </c>
      <c r="J105">
        <v>16</v>
      </c>
      <c r="K105">
        <v>130768</v>
      </c>
      <c r="L105" s="1">
        <f>Marketing[[#This Row],[revenue]]/Marketing[[#This Row],[mark_spent]]</f>
        <v>0.65939873130490034</v>
      </c>
      <c r="M105" s="2">
        <f>IF(Marketing[[#This Row],[orders]]=0,"",Marketing[[#This Row],[mark_spent]]/Marketing[[#This Row],[orders]])</f>
        <v>12394.625</v>
      </c>
    </row>
    <row r="106" spans="1:13" x14ac:dyDescent="0.25">
      <c r="A106">
        <v>105</v>
      </c>
      <c r="B106" t="s">
        <v>35</v>
      </c>
      <c r="C106" t="s">
        <v>20</v>
      </c>
      <c r="D106" t="s">
        <v>14</v>
      </c>
      <c r="E106">
        <v>9034945</v>
      </c>
      <c r="F106">
        <v>3858193</v>
      </c>
      <c r="G106">
        <v>388903</v>
      </c>
      <c r="H106">
        <v>5406</v>
      </c>
      <c r="I106">
        <v>186</v>
      </c>
      <c r="J106">
        <v>14</v>
      </c>
      <c r="K106">
        <v>83734</v>
      </c>
      <c r="L106" s="1">
        <f>Marketing[[#This Row],[revenue]]/Marketing[[#This Row],[mark_spent]]</f>
        <v>0.21530818738862903</v>
      </c>
      <c r="M106" s="2">
        <f>IF(Marketing[[#This Row],[orders]]=0,"",Marketing[[#This Row],[mark_spent]]/Marketing[[#This Row],[orders]])</f>
        <v>27778.785714285714</v>
      </c>
    </row>
    <row r="107" spans="1:13" x14ac:dyDescent="0.25">
      <c r="A107">
        <v>106</v>
      </c>
      <c r="B107" t="s">
        <v>35</v>
      </c>
      <c r="C107" t="s">
        <v>21</v>
      </c>
      <c r="D107" t="s">
        <v>14</v>
      </c>
      <c r="E107">
        <v>983498</v>
      </c>
      <c r="F107">
        <v>2040000</v>
      </c>
      <c r="G107">
        <v>141479</v>
      </c>
      <c r="H107">
        <v>10200</v>
      </c>
      <c r="I107">
        <v>395</v>
      </c>
      <c r="J107">
        <v>4</v>
      </c>
      <c r="K107">
        <v>7924</v>
      </c>
      <c r="L107" s="1">
        <f>Marketing[[#This Row],[revenue]]/Marketing[[#This Row],[mark_spent]]</f>
        <v>5.6008312187674499E-2</v>
      </c>
      <c r="M107" s="2">
        <f>IF(Marketing[[#This Row],[orders]]=0,"",Marketing[[#This Row],[mark_spent]]/Marketing[[#This Row],[orders]])</f>
        <v>35369.75</v>
      </c>
    </row>
    <row r="108" spans="1:13" x14ac:dyDescent="0.25">
      <c r="A108">
        <v>107</v>
      </c>
      <c r="B108" t="s">
        <v>35</v>
      </c>
      <c r="C108" t="s">
        <v>22</v>
      </c>
      <c r="D108" t="s">
        <v>14</v>
      </c>
      <c r="E108">
        <v>4387490</v>
      </c>
      <c r="F108">
        <v>18399</v>
      </c>
      <c r="G108">
        <v>12713</v>
      </c>
      <c r="H108">
        <v>599</v>
      </c>
      <c r="I108">
        <v>22</v>
      </c>
      <c r="J108">
        <v>5</v>
      </c>
      <c r="K108">
        <v>27065</v>
      </c>
      <c r="L108" s="1">
        <f>Marketing[[#This Row],[revenue]]/Marketing[[#This Row],[mark_spent]]</f>
        <v>2.1289231495319751</v>
      </c>
      <c r="M108" s="2">
        <f>IF(Marketing[[#This Row],[orders]]=0,"",Marketing[[#This Row],[mark_spent]]/Marketing[[#This Row],[orders]])</f>
        <v>2542.6</v>
      </c>
    </row>
    <row r="109" spans="1:13" x14ac:dyDescent="0.25">
      <c r="A109">
        <v>108</v>
      </c>
      <c r="B109" t="s">
        <v>35</v>
      </c>
      <c r="C109" t="s">
        <v>23</v>
      </c>
      <c r="D109" t="s">
        <v>14</v>
      </c>
      <c r="E109">
        <v>544756</v>
      </c>
      <c r="F109">
        <v>321713</v>
      </c>
      <c r="G109">
        <v>131236</v>
      </c>
      <c r="H109">
        <v>2396</v>
      </c>
      <c r="I109">
        <v>88</v>
      </c>
      <c r="J109">
        <v>15</v>
      </c>
      <c r="K109">
        <v>14715</v>
      </c>
      <c r="L109" s="1">
        <f>Marketing[[#This Row],[revenue]]/Marketing[[#This Row],[mark_spent]]</f>
        <v>0.11212624584717608</v>
      </c>
      <c r="M109" s="2">
        <f>IF(Marketing[[#This Row],[orders]]=0,"",Marketing[[#This Row],[mark_spent]]/Marketing[[#This Row],[orders]])</f>
        <v>8749.0666666666675</v>
      </c>
    </row>
    <row r="110" spans="1:13" x14ac:dyDescent="0.25">
      <c r="A110">
        <v>109</v>
      </c>
      <c r="B110" t="s">
        <v>35</v>
      </c>
      <c r="C110" t="s">
        <v>24</v>
      </c>
      <c r="D110" t="s">
        <v>1</v>
      </c>
      <c r="E110">
        <v>374754</v>
      </c>
      <c r="F110">
        <v>489728</v>
      </c>
      <c r="G110">
        <v>126901</v>
      </c>
      <c r="H110">
        <v>6005</v>
      </c>
      <c r="I110">
        <v>187</v>
      </c>
      <c r="J110">
        <v>34</v>
      </c>
      <c r="K110">
        <v>143888</v>
      </c>
      <c r="L110" s="1">
        <f>Marketing[[#This Row],[revenue]]/Marketing[[#This Row],[mark_spent]]</f>
        <v>1.1338602532682958</v>
      </c>
      <c r="M110" s="2">
        <f>IF(Marketing[[#This Row],[orders]]=0,"",Marketing[[#This Row],[mark_spent]]/Marketing[[#This Row],[orders]])</f>
        <v>3732.3823529411766</v>
      </c>
    </row>
    <row r="111" spans="1:13" x14ac:dyDescent="0.25">
      <c r="A111">
        <v>110</v>
      </c>
      <c r="B111" t="s">
        <v>35</v>
      </c>
      <c r="C111" t="s">
        <v>25</v>
      </c>
      <c r="D111" t="s">
        <v>26</v>
      </c>
      <c r="E111">
        <v>39889</v>
      </c>
      <c r="F111">
        <v>5219501</v>
      </c>
      <c r="G111">
        <v>179519</v>
      </c>
      <c r="H111">
        <v>8391</v>
      </c>
      <c r="I111">
        <v>302</v>
      </c>
      <c r="J111">
        <v>60</v>
      </c>
      <c r="K111">
        <v>196680</v>
      </c>
      <c r="L111" s="1">
        <f>Marketing[[#This Row],[revenue]]/Marketing[[#This Row],[mark_spent]]</f>
        <v>1.0955943382037556</v>
      </c>
      <c r="M111" s="2">
        <f>IF(Marketing[[#This Row],[orders]]=0,"",Marketing[[#This Row],[mark_spent]]/Marketing[[#This Row],[orders]])</f>
        <v>2991.9833333333331</v>
      </c>
    </row>
    <row r="112" spans="1:13" x14ac:dyDescent="0.25">
      <c r="A112">
        <v>111</v>
      </c>
      <c r="B112" t="s">
        <v>36</v>
      </c>
      <c r="C112" t="s">
        <v>13</v>
      </c>
      <c r="D112" t="s">
        <v>14</v>
      </c>
      <c r="E112">
        <v>349043</v>
      </c>
      <c r="F112">
        <v>1061233</v>
      </c>
      <c r="G112">
        <v>105681</v>
      </c>
      <c r="H112">
        <v>7206</v>
      </c>
      <c r="I112">
        <v>144</v>
      </c>
      <c r="J112">
        <v>23</v>
      </c>
      <c r="K112">
        <v>105225</v>
      </c>
      <c r="L112" s="1">
        <f>Marketing[[#This Row],[revenue]]/Marketing[[#This Row],[mark_spent]]</f>
        <v>0.99568512788486108</v>
      </c>
      <c r="M112" s="2">
        <f>IF(Marketing[[#This Row],[orders]]=0,"",Marketing[[#This Row],[mark_spent]]/Marketing[[#This Row],[orders]])</f>
        <v>4594.826086956522</v>
      </c>
    </row>
    <row r="113" spans="1:13" x14ac:dyDescent="0.25">
      <c r="A113">
        <v>112</v>
      </c>
      <c r="B113" t="s">
        <v>36</v>
      </c>
      <c r="C113" t="s">
        <v>15</v>
      </c>
      <c r="D113" t="s">
        <v>14</v>
      </c>
      <c r="E113">
        <v>348934</v>
      </c>
      <c r="F113">
        <v>4564542</v>
      </c>
      <c r="G113">
        <v>188516</v>
      </c>
      <c r="H113">
        <v>9895</v>
      </c>
      <c r="I113">
        <v>304</v>
      </c>
      <c r="J113">
        <v>28</v>
      </c>
      <c r="K113">
        <v>131068</v>
      </c>
      <c r="L113" s="1">
        <f>Marketing[[#This Row],[revenue]]/Marketing[[#This Row],[mark_spent]]</f>
        <v>0.69526194063103397</v>
      </c>
      <c r="M113" s="2">
        <f>IF(Marketing[[#This Row],[orders]]=0,"",Marketing[[#This Row],[mark_spent]]/Marketing[[#This Row],[orders]])</f>
        <v>6732.7142857142853</v>
      </c>
    </row>
    <row r="114" spans="1:13" x14ac:dyDescent="0.25">
      <c r="A114">
        <v>113</v>
      </c>
      <c r="B114" t="s">
        <v>36</v>
      </c>
      <c r="C114" t="s">
        <v>16</v>
      </c>
      <c r="D114" t="s">
        <v>17</v>
      </c>
      <c r="E114">
        <v>89459845</v>
      </c>
      <c r="F114">
        <v>134600</v>
      </c>
      <c r="G114">
        <v>262204</v>
      </c>
      <c r="H114">
        <v>2692</v>
      </c>
      <c r="I114">
        <v>54</v>
      </c>
      <c r="J114">
        <v>6</v>
      </c>
      <c r="K114">
        <v>48990</v>
      </c>
      <c r="L114" s="1">
        <f>Marketing[[#This Row],[revenue]]/Marketing[[#This Row],[mark_spent]]</f>
        <v>0.18683925493127487</v>
      </c>
      <c r="M114" s="2">
        <f>IF(Marketing[[#This Row],[orders]]=0,"",Marketing[[#This Row],[mark_spent]]/Marketing[[#This Row],[orders]])</f>
        <v>43700.666666666664</v>
      </c>
    </row>
    <row r="115" spans="1:13" x14ac:dyDescent="0.25">
      <c r="A115">
        <v>114</v>
      </c>
      <c r="B115" t="s">
        <v>36</v>
      </c>
      <c r="C115" t="s">
        <v>18</v>
      </c>
      <c r="D115" t="s">
        <v>17</v>
      </c>
      <c r="E115">
        <v>127823</v>
      </c>
      <c r="F115">
        <v>1254537</v>
      </c>
      <c r="G115">
        <v>514225</v>
      </c>
      <c r="H115">
        <v>7198</v>
      </c>
      <c r="I115">
        <v>144</v>
      </c>
      <c r="J115">
        <v>14</v>
      </c>
      <c r="K115">
        <v>41986</v>
      </c>
      <c r="L115" s="1">
        <f>Marketing[[#This Row],[revenue]]/Marketing[[#This Row],[mark_spent]]</f>
        <v>8.164908357236618E-2</v>
      </c>
      <c r="M115" s="2">
        <f>IF(Marketing[[#This Row],[orders]]=0,"",Marketing[[#This Row],[mark_spent]]/Marketing[[#This Row],[orders]])</f>
        <v>36730.357142857145</v>
      </c>
    </row>
    <row r="116" spans="1:13" x14ac:dyDescent="0.25">
      <c r="A116">
        <v>115</v>
      </c>
      <c r="B116" t="s">
        <v>36</v>
      </c>
      <c r="C116" t="s">
        <v>19</v>
      </c>
      <c r="D116" t="s">
        <v>1</v>
      </c>
      <c r="E116">
        <v>10934</v>
      </c>
      <c r="F116">
        <v>1210466</v>
      </c>
      <c r="G116">
        <v>197161</v>
      </c>
      <c r="H116">
        <v>13506</v>
      </c>
      <c r="I116">
        <v>474</v>
      </c>
      <c r="J116">
        <v>95</v>
      </c>
      <c r="K116">
        <v>831820</v>
      </c>
      <c r="L116" s="1">
        <f>Marketing[[#This Row],[revenue]]/Marketing[[#This Row],[mark_spent]]</f>
        <v>4.2189885423587832</v>
      </c>
      <c r="M116" s="2">
        <f>IF(Marketing[[#This Row],[orders]]=0,"",Marketing[[#This Row],[mark_spent]]/Marketing[[#This Row],[orders]])</f>
        <v>2075.378947368421</v>
      </c>
    </row>
    <row r="117" spans="1:13" x14ac:dyDescent="0.25">
      <c r="A117">
        <v>116</v>
      </c>
      <c r="B117" t="s">
        <v>36</v>
      </c>
      <c r="C117" t="s">
        <v>20</v>
      </c>
      <c r="D117" t="s">
        <v>14</v>
      </c>
      <c r="E117">
        <v>9034945</v>
      </c>
      <c r="F117">
        <v>2224531</v>
      </c>
      <c r="G117">
        <v>34899</v>
      </c>
      <c r="H117">
        <v>8106</v>
      </c>
      <c r="I117">
        <v>1</v>
      </c>
      <c r="J117">
        <v>0</v>
      </c>
      <c r="K117">
        <v>0</v>
      </c>
      <c r="L117" s="1">
        <f>Marketing[[#This Row],[revenue]]/Marketing[[#This Row],[mark_spent]]</f>
        <v>0</v>
      </c>
      <c r="M117" s="2" t="str">
        <f>IF(Marketing[[#This Row],[orders]]=0,"",Marketing[[#This Row],[mark_spent]]/Marketing[[#This Row],[orders]])</f>
        <v/>
      </c>
    </row>
    <row r="118" spans="1:13" x14ac:dyDescent="0.25">
      <c r="A118">
        <v>117</v>
      </c>
      <c r="B118" t="s">
        <v>36</v>
      </c>
      <c r="C118" t="s">
        <v>21</v>
      </c>
      <c r="D118" t="s">
        <v>14</v>
      </c>
      <c r="E118">
        <v>983498</v>
      </c>
      <c r="F118">
        <v>3058200</v>
      </c>
      <c r="G118">
        <v>413873</v>
      </c>
      <c r="H118">
        <v>15291</v>
      </c>
      <c r="I118">
        <v>114</v>
      </c>
      <c r="J118">
        <v>1</v>
      </c>
      <c r="K118">
        <v>2771</v>
      </c>
      <c r="L118" s="1">
        <f>Marketing[[#This Row],[revenue]]/Marketing[[#This Row],[mark_spent]]</f>
        <v>6.6952905843096792E-3</v>
      </c>
      <c r="M118" s="2">
        <f>IF(Marketing[[#This Row],[orders]]=0,"",Marketing[[#This Row],[mark_spent]]/Marketing[[#This Row],[orders]])</f>
        <v>413873</v>
      </c>
    </row>
    <row r="119" spans="1:13" x14ac:dyDescent="0.25">
      <c r="A119">
        <v>118</v>
      </c>
      <c r="B119" t="s">
        <v>36</v>
      </c>
      <c r="C119" t="s">
        <v>22</v>
      </c>
      <c r="D119" t="s">
        <v>14</v>
      </c>
      <c r="E119">
        <v>4387490</v>
      </c>
      <c r="F119">
        <v>26774</v>
      </c>
      <c r="G119">
        <v>177111</v>
      </c>
      <c r="H119">
        <v>893</v>
      </c>
      <c r="I119">
        <v>27</v>
      </c>
      <c r="J119">
        <v>6</v>
      </c>
      <c r="K119">
        <v>29886</v>
      </c>
      <c r="L119" s="1">
        <f>Marketing[[#This Row],[revenue]]/Marketing[[#This Row],[mark_spent]]</f>
        <v>0.16874163660077579</v>
      </c>
      <c r="M119" s="2">
        <f>IF(Marketing[[#This Row],[orders]]=0,"",Marketing[[#This Row],[mark_spent]]/Marketing[[#This Row],[orders]])</f>
        <v>29518.5</v>
      </c>
    </row>
    <row r="120" spans="1:13" x14ac:dyDescent="0.25">
      <c r="A120">
        <v>119</v>
      </c>
      <c r="B120" t="s">
        <v>36</v>
      </c>
      <c r="C120" t="s">
        <v>23</v>
      </c>
      <c r="D120" t="s">
        <v>14</v>
      </c>
      <c r="E120">
        <v>544756</v>
      </c>
      <c r="F120">
        <v>359500</v>
      </c>
      <c r="G120">
        <v>617115</v>
      </c>
      <c r="H120">
        <v>3595</v>
      </c>
      <c r="I120">
        <v>5</v>
      </c>
      <c r="J120">
        <v>1</v>
      </c>
      <c r="K120">
        <v>677</v>
      </c>
      <c r="L120" s="1">
        <f>Marketing[[#This Row],[revenue]]/Marketing[[#This Row],[mark_spent]]</f>
        <v>1.0970402599191399E-3</v>
      </c>
      <c r="M120" s="2">
        <f>IF(Marketing[[#This Row],[orders]]=0,"",Marketing[[#This Row],[mark_spent]]/Marketing[[#This Row],[orders]])</f>
        <v>617115</v>
      </c>
    </row>
    <row r="121" spans="1:13" x14ac:dyDescent="0.25">
      <c r="A121">
        <v>120</v>
      </c>
      <c r="B121" t="s">
        <v>36</v>
      </c>
      <c r="C121" t="s">
        <v>24</v>
      </c>
      <c r="D121" t="s">
        <v>1</v>
      </c>
      <c r="E121">
        <v>374754</v>
      </c>
      <c r="F121">
        <v>900400</v>
      </c>
      <c r="G121">
        <v>128751</v>
      </c>
      <c r="H121">
        <v>9004</v>
      </c>
      <c r="I121">
        <v>227</v>
      </c>
      <c r="J121">
        <v>29</v>
      </c>
      <c r="K121">
        <v>143869</v>
      </c>
      <c r="L121" s="1">
        <f>Marketing[[#This Row],[revenue]]/Marketing[[#This Row],[mark_spent]]</f>
        <v>1.1174204472198275</v>
      </c>
      <c r="M121" s="2">
        <f>IF(Marketing[[#This Row],[orders]]=0,"",Marketing[[#This Row],[mark_spent]]/Marketing[[#This Row],[orders]])</f>
        <v>4439.6896551724139</v>
      </c>
    </row>
    <row r="122" spans="1:13" x14ac:dyDescent="0.25">
      <c r="A122">
        <v>121</v>
      </c>
      <c r="B122" t="s">
        <v>36</v>
      </c>
      <c r="C122" t="s">
        <v>25</v>
      </c>
      <c r="D122" t="s">
        <v>26</v>
      </c>
      <c r="E122">
        <v>39889</v>
      </c>
      <c r="F122">
        <v>5125187</v>
      </c>
      <c r="G122">
        <v>193124</v>
      </c>
      <c r="H122">
        <v>12602</v>
      </c>
      <c r="I122">
        <v>482</v>
      </c>
      <c r="J122">
        <v>57</v>
      </c>
      <c r="K122">
        <v>226917</v>
      </c>
      <c r="L122" s="1">
        <f>Marketing[[#This Row],[revenue]]/Marketing[[#This Row],[mark_spent]]</f>
        <v>1.1749808413247447</v>
      </c>
      <c r="M122" s="2">
        <f>IF(Marketing[[#This Row],[orders]]=0,"",Marketing[[#This Row],[mark_spent]]/Marketing[[#This Row],[orders]])</f>
        <v>3388.1403508771928</v>
      </c>
    </row>
    <row r="123" spans="1:13" x14ac:dyDescent="0.25">
      <c r="A123">
        <v>122</v>
      </c>
      <c r="B123" t="s">
        <v>37</v>
      </c>
      <c r="C123" t="s">
        <v>13</v>
      </c>
      <c r="D123" t="s">
        <v>14</v>
      </c>
      <c r="E123">
        <v>349043</v>
      </c>
      <c r="F123">
        <v>1804868</v>
      </c>
      <c r="G123">
        <v>110004</v>
      </c>
      <c r="H123">
        <v>9607</v>
      </c>
      <c r="I123">
        <v>192</v>
      </c>
      <c r="J123">
        <v>23</v>
      </c>
      <c r="K123">
        <v>96163</v>
      </c>
      <c r="L123" s="1">
        <f>Marketing[[#This Row],[revenue]]/Marketing[[#This Row],[mark_spent]]</f>
        <v>0.87417730264354021</v>
      </c>
      <c r="M123" s="2">
        <f>IF(Marketing[[#This Row],[orders]]=0,"",Marketing[[#This Row],[mark_spent]]/Marketing[[#This Row],[orders]])</f>
        <v>4782.782608695652</v>
      </c>
    </row>
    <row r="124" spans="1:13" x14ac:dyDescent="0.25">
      <c r="A124">
        <v>123</v>
      </c>
      <c r="B124" t="s">
        <v>37</v>
      </c>
      <c r="C124" t="s">
        <v>15</v>
      </c>
      <c r="D124" t="s">
        <v>14</v>
      </c>
      <c r="E124">
        <v>348934</v>
      </c>
      <c r="F124">
        <v>2639200</v>
      </c>
      <c r="G124">
        <v>191722</v>
      </c>
      <c r="H124">
        <v>13196</v>
      </c>
      <c r="I124">
        <v>325</v>
      </c>
      <c r="J124">
        <v>32</v>
      </c>
      <c r="K124">
        <v>176512</v>
      </c>
      <c r="L124" s="1">
        <f>Marketing[[#This Row],[revenue]]/Marketing[[#This Row],[mark_spent]]</f>
        <v>0.92066638153159264</v>
      </c>
      <c r="M124" s="2">
        <f>IF(Marketing[[#This Row],[orders]]=0,"",Marketing[[#This Row],[mark_spent]]/Marketing[[#This Row],[orders]])</f>
        <v>5991.3125</v>
      </c>
    </row>
    <row r="125" spans="1:13" x14ac:dyDescent="0.25">
      <c r="A125">
        <v>124</v>
      </c>
      <c r="B125" t="s">
        <v>37</v>
      </c>
      <c r="C125" t="s">
        <v>16</v>
      </c>
      <c r="D125" t="s">
        <v>17</v>
      </c>
      <c r="E125">
        <v>89459845</v>
      </c>
      <c r="F125">
        <v>161493</v>
      </c>
      <c r="G125">
        <v>597453</v>
      </c>
      <c r="H125">
        <v>3602</v>
      </c>
      <c r="I125">
        <v>72</v>
      </c>
      <c r="J125">
        <v>14</v>
      </c>
      <c r="K125">
        <v>122710</v>
      </c>
      <c r="L125" s="1">
        <f>Marketing[[#This Row],[revenue]]/Marketing[[#This Row],[mark_spent]]</f>
        <v>0.20538854102331061</v>
      </c>
      <c r="M125" s="2">
        <f>IF(Marketing[[#This Row],[orders]]=0,"",Marketing[[#This Row],[mark_spent]]/Marketing[[#This Row],[orders]])</f>
        <v>42675.214285714283</v>
      </c>
    </row>
    <row r="126" spans="1:13" x14ac:dyDescent="0.25">
      <c r="A126">
        <v>125</v>
      </c>
      <c r="B126" t="s">
        <v>37</v>
      </c>
      <c r="C126" t="s">
        <v>18</v>
      </c>
      <c r="D126" t="s">
        <v>17</v>
      </c>
      <c r="E126">
        <v>127823</v>
      </c>
      <c r="F126">
        <v>1502383</v>
      </c>
      <c r="G126">
        <v>867331</v>
      </c>
      <c r="H126">
        <v>9605</v>
      </c>
      <c r="I126">
        <v>192</v>
      </c>
      <c r="J126">
        <v>19</v>
      </c>
      <c r="K126">
        <v>56639</v>
      </c>
      <c r="L126" s="1">
        <f>Marketing[[#This Row],[revenue]]/Marketing[[#This Row],[mark_spent]]</f>
        <v>6.5302635326075054E-2</v>
      </c>
      <c r="M126" s="2">
        <f>IF(Marketing[[#This Row],[orders]]=0,"",Marketing[[#This Row],[mark_spent]]/Marketing[[#This Row],[orders]])</f>
        <v>45649</v>
      </c>
    </row>
    <row r="127" spans="1:13" x14ac:dyDescent="0.25">
      <c r="A127">
        <v>126</v>
      </c>
      <c r="B127" t="s">
        <v>37</v>
      </c>
      <c r="C127" t="s">
        <v>19</v>
      </c>
      <c r="D127" t="s">
        <v>1</v>
      </c>
      <c r="E127">
        <v>10934</v>
      </c>
      <c r="F127">
        <v>1299708</v>
      </c>
      <c r="G127">
        <v>121652</v>
      </c>
      <c r="H127">
        <v>17994</v>
      </c>
      <c r="I127">
        <v>378</v>
      </c>
      <c r="J127">
        <v>61</v>
      </c>
      <c r="K127">
        <v>486841</v>
      </c>
      <c r="L127" s="1">
        <f>Marketing[[#This Row],[revenue]]/Marketing[[#This Row],[mark_spent]]</f>
        <v>4.0019152993785552</v>
      </c>
      <c r="M127" s="2">
        <f>IF(Marketing[[#This Row],[orders]]=0,"",Marketing[[#This Row],[mark_spent]]/Marketing[[#This Row],[orders]])</f>
        <v>1994.295081967213</v>
      </c>
    </row>
    <row r="128" spans="1:13" x14ac:dyDescent="0.25">
      <c r="A128">
        <v>127</v>
      </c>
      <c r="B128" t="s">
        <v>37</v>
      </c>
      <c r="C128" t="s">
        <v>20</v>
      </c>
      <c r="D128" t="s">
        <v>14</v>
      </c>
      <c r="E128">
        <v>9034945</v>
      </c>
      <c r="F128">
        <v>3735390</v>
      </c>
      <c r="G128">
        <v>266599</v>
      </c>
      <c r="H128">
        <v>10806</v>
      </c>
      <c r="I128">
        <v>115</v>
      </c>
      <c r="J128">
        <v>9</v>
      </c>
      <c r="K128">
        <v>53523</v>
      </c>
      <c r="L128" s="1">
        <f>Marketing[[#This Row],[revenue]]/Marketing[[#This Row],[mark_spent]]</f>
        <v>0.20076219340657692</v>
      </c>
      <c r="M128" s="2">
        <f>IF(Marketing[[#This Row],[orders]]=0,"",Marketing[[#This Row],[mark_spent]]/Marketing[[#This Row],[orders]])</f>
        <v>29622.111111111109</v>
      </c>
    </row>
    <row r="129" spans="1:13" x14ac:dyDescent="0.25">
      <c r="A129">
        <v>128</v>
      </c>
      <c r="B129" t="s">
        <v>37</v>
      </c>
      <c r="C129" t="s">
        <v>21</v>
      </c>
      <c r="D129" t="s">
        <v>14</v>
      </c>
      <c r="E129">
        <v>983498</v>
      </c>
      <c r="F129">
        <v>7156880</v>
      </c>
      <c r="G129">
        <v>490603</v>
      </c>
      <c r="H129">
        <v>20391</v>
      </c>
      <c r="I129">
        <v>408</v>
      </c>
      <c r="J129">
        <v>15</v>
      </c>
      <c r="K129">
        <v>29715</v>
      </c>
      <c r="L129" s="1">
        <f>Marketing[[#This Row],[revenue]]/Marketing[[#This Row],[mark_spent]]</f>
        <v>6.0568321025350438E-2</v>
      </c>
      <c r="M129" s="2">
        <f>IF(Marketing[[#This Row],[orders]]=0,"",Marketing[[#This Row],[mark_spent]]/Marketing[[#This Row],[orders]])</f>
        <v>32706.866666666665</v>
      </c>
    </row>
    <row r="130" spans="1:13" x14ac:dyDescent="0.25">
      <c r="A130">
        <v>129</v>
      </c>
      <c r="B130" t="s">
        <v>37</v>
      </c>
      <c r="C130" t="s">
        <v>22</v>
      </c>
      <c r="D130" t="s">
        <v>14</v>
      </c>
      <c r="E130">
        <v>4387490</v>
      </c>
      <c r="F130">
        <v>42587</v>
      </c>
      <c r="G130">
        <v>112783</v>
      </c>
      <c r="H130">
        <v>1207</v>
      </c>
      <c r="I130">
        <v>34</v>
      </c>
      <c r="J130">
        <v>8</v>
      </c>
      <c r="K130">
        <v>39848</v>
      </c>
      <c r="L130" s="1">
        <f>Marketing[[#This Row],[revenue]]/Marketing[[#This Row],[mark_spent]]</f>
        <v>0.35331565927489073</v>
      </c>
      <c r="M130" s="2">
        <f>IF(Marketing[[#This Row],[orders]]=0,"",Marketing[[#This Row],[mark_spent]]/Marketing[[#This Row],[orders]])</f>
        <v>14097.875</v>
      </c>
    </row>
    <row r="131" spans="1:13" x14ac:dyDescent="0.25">
      <c r="A131">
        <v>130</v>
      </c>
      <c r="B131" t="s">
        <v>37</v>
      </c>
      <c r="C131" t="s">
        <v>23</v>
      </c>
      <c r="D131" t="s">
        <v>14</v>
      </c>
      <c r="E131">
        <v>544756</v>
      </c>
      <c r="F131">
        <v>480000</v>
      </c>
      <c r="G131">
        <v>445809</v>
      </c>
      <c r="H131">
        <v>4800</v>
      </c>
      <c r="I131">
        <v>33</v>
      </c>
      <c r="J131">
        <v>5</v>
      </c>
      <c r="K131">
        <v>6945</v>
      </c>
      <c r="L131" s="1">
        <f>Marketing[[#This Row],[revenue]]/Marketing[[#This Row],[mark_spent]]</f>
        <v>1.5578420354905352E-2</v>
      </c>
      <c r="M131" s="2">
        <f>IF(Marketing[[#This Row],[orders]]=0,"",Marketing[[#This Row],[mark_spent]]/Marketing[[#This Row],[orders]])</f>
        <v>89161.8</v>
      </c>
    </row>
    <row r="132" spans="1:13" x14ac:dyDescent="0.25">
      <c r="A132">
        <v>131</v>
      </c>
      <c r="B132" t="s">
        <v>37</v>
      </c>
      <c r="C132" t="s">
        <v>24</v>
      </c>
      <c r="D132" t="s">
        <v>1</v>
      </c>
      <c r="E132">
        <v>374754</v>
      </c>
      <c r="F132">
        <v>1200300</v>
      </c>
      <c r="G132">
        <v>308572</v>
      </c>
      <c r="H132">
        <v>12003</v>
      </c>
      <c r="I132">
        <v>412</v>
      </c>
      <c r="J132">
        <v>79</v>
      </c>
      <c r="K132">
        <v>393499</v>
      </c>
      <c r="L132" s="1">
        <f>Marketing[[#This Row],[revenue]]/Marketing[[#This Row],[mark_spent]]</f>
        <v>1.2752258792113349</v>
      </c>
      <c r="M132" s="2">
        <f>IF(Marketing[[#This Row],[orders]]=0,"",Marketing[[#This Row],[mark_spent]]/Marketing[[#This Row],[orders]])</f>
        <v>3905.9746835443038</v>
      </c>
    </row>
    <row r="133" spans="1:13" x14ac:dyDescent="0.25">
      <c r="A133">
        <v>132</v>
      </c>
      <c r="B133" t="s">
        <v>37</v>
      </c>
      <c r="C133" t="s">
        <v>25</v>
      </c>
      <c r="D133" t="s">
        <v>26</v>
      </c>
      <c r="E133">
        <v>39889</v>
      </c>
      <c r="F133">
        <v>10819771</v>
      </c>
      <c r="G133">
        <v>145201</v>
      </c>
      <c r="H133">
        <v>16808</v>
      </c>
      <c r="I133">
        <v>336</v>
      </c>
      <c r="J133">
        <v>49</v>
      </c>
      <c r="K133">
        <v>195069</v>
      </c>
      <c r="L133" s="1">
        <f>Marketing[[#This Row],[revenue]]/Marketing[[#This Row],[mark_spent]]</f>
        <v>1.3434411608735477</v>
      </c>
      <c r="M133" s="2">
        <f>IF(Marketing[[#This Row],[orders]]=0,"",Marketing[[#This Row],[mark_spent]]/Marketing[[#This Row],[orders]])</f>
        <v>2963.2857142857142</v>
      </c>
    </row>
    <row r="134" spans="1:13" x14ac:dyDescent="0.25">
      <c r="A134">
        <v>133</v>
      </c>
      <c r="B134" t="s">
        <v>38</v>
      </c>
      <c r="C134" t="s">
        <v>13</v>
      </c>
      <c r="D134" t="s">
        <v>14</v>
      </c>
      <c r="E134">
        <v>349043</v>
      </c>
      <c r="F134">
        <v>1496322</v>
      </c>
      <c r="G134">
        <v>308692</v>
      </c>
      <c r="H134">
        <v>11990</v>
      </c>
      <c r="I134">
        <v>397</v>
      </c>
      <c r="J134">
        <v>60</v>
      </c>
      <c r="K134">
        <v>341880</v>
      </c>
      <c r="L134" s="1">
        <f>Marketing[[#This Row],[revenue]]/Marketing[[#This Row],[mark_spent]]</f>
        <v>1.1075116945045547</v>
      </c>
      <c r="M134" s="2">
        <f>IF(Marketing[[#This Row],[orders]]=0,"",Marketing[[#This Row],[mark_spent]]/Marketing[[#This Row],[orders]])</f>
        <v>5144.8666666666668</v>
      </c>
    </row>
    <row r="135" spans="1:13" x14ac:dyDescent="0.25">
      <c r="A135">
        <v>134</v>
      </c>
      <c r="B135" t="s">
        <v>38</v>
      </c>
      <c r="C135" t="s">
        <v>15</v>
      </c>
      <c r="D135" t="s">
        <v>14</v>
      </c>
      <c r="E135">
        <v>348934</v>
      </c>
      <c r="F135">
        <v>2358224</v>
      </c>
      <c r="G135">
        <v>325444</v>
      </c>
      <c r="H135">
        <v>16506</v>
      </c>
      <c r="I135">
        <v>655</v>
      </c>
      <c r="J135">
        <v>52</v>
      </c>
      <c r="K135">
        <v>262184</v>
      </c>
      <c r="L135" s="1">
        <f>Marketing[[#This Row],[revenue]]/Marketing[[#This Row],[mark_spent]]</f>
        <v>0.80561939995821097</v>
      </c>
      <c r="M135" s="2">
        <f>IF(Marketing[[#This Row],[orders]]=0,"",Marketing[[#This Row],[mark_spent]]/Marketing[[#This Row],[orders]])</f>
        <v>6258.5384615384619</v>
      </c>
    </row>
    <row r="136" spans="1:13" x14ac:dyDescent="0.25">
      <c r="A136">
        <v>135</v>
      </c>
      <c r="B136" t="s">
        <v>38</v>
      </c>
      <c r="C136" t="s">
        <v>16</v>
      </c>
      <c r="D136" t="s">
        <v>17</v>
      </c>
      <c r="E136">
        <v>89459845</v>
      </c>
      <c r="F136">
        <v>225350</v>
      </c>
      <c r="G136">
        <v>615881</v>
      </c>
      <c r="H136">
        <v>4507</v>
      </c>
      <c r="I136">
        <v>100</v>
      </c>
      <c r="J136">
        <v>17</v>
      </c>
      <c r="K136">
        <v>152660</v>
      </c>
      <c r="L136" s="1">
        <f>Marketing[[#This Row],[revenue]]/Marketing[[#This Row],[mark_spent]]</f>
        <v>0.24787255979645417</v>
      </c>
      <c r="M136" s="2">
        <f>IF(Marketing[[#This Row],[orders]]=0,"",Marketing[[#This Row],[mark_spent]]/Marketing[[#This Row],[orders]])</f>
        <v>36228.294117647056</v>
      </c>
    </row>
    <row r="137" spans="1:13" x14ac:dyDescent="0.25">
      <c r="A137">
        <v>136</v>
      </c>
      <c r="B137" t="s">
        <v>38</v>
      </c>
      <c r="C137" t="s">
        <v>18</v>
      </c>
      <c r="D137" t="s">
        <v>17</v>
      </c>
      <c r="E137">
        <v>127823</v>
      </c>
      <c r="F137">
        <v>3452027</v>
      </c>
      <c r="G137">
        <v>216562</v>
      </c>
      <c r="H137">
        <v>12010</v>
      </c>
      <c r="I137">
        <v>378</v>
      </c>
      <c r="J137">
        <v>56</v>
      </c>
      <c r="K137">
        <v>123088</v>
      </c>
      <c r="L137" s="1">
        <f>Marketing[[#This Row],[revenue]]/Marketing[[#This Row],[mark_spent]]</f>
        <v>0.56837302943267975</v>
      </c>
      <c r="M137" s="2">
        <f>IF(Marketing[[#This Row],[orders]]=0,"",Marketing[[#This Row],[mark_spent]]/Marketing[[#This Row],[orders]])</f>
        <v>3867.1785714285716</v>
      </c>
    </row>
    <row r="138" spans="1:13" x14ac:dyDescent="0.25">
      <c r="A138">
        <v>137</v>
      </c>
      <c r="B138" t="s">
        <v>38</v>
      </c>
      <c r="C138" t="s">
        <v>19</v>
      </c>
      <c r="D138" t="s">
        <v>1</v>
      </c>
      <c r="E138">
        <v>10934</v>
      </c>
      <c r="F138">
        <v>2250900</v>
      </c>
      <c r="G138">
        <v>205045</v>
      </c>
      <c r="H138">
        <v>22509</v>
      </c>
      <c r="I138">
        <v>790</v>
      </c>
      <c r="J138">
        <v>158</v>
      </c>
      <c r="K138">
        <v>1296550</v>
      </c>
      <c r="L138" s="1">
        <f>Marketing[[#This Row],[revenue]]/Marketing[[#This Row],[mark_spent]]</f>
        <v>6.3232461167060885</v>
      </c>
      <c r="M138" s="2">
        <f>IF(Marketing[[#This Row],[orders]]=0,"",Marketing[[#This Row],[mark_spent]]/Marketing[[#This Row],[orders]])</f>
        <v>1297.753164556962</v>
      </c>
    </row>
    <row r="139" spans="1:13" x14ac:dyDescent="0.25">
      <c r="A139">
        <v>138</v>
      </c>
      <c r="B139" t="s">
        <v>38</v>
      </c>
      <c r="C139" t="s">
        <v>20</v>
      </c>
      <c r="D139" t="s">
        <v>14</v>
      </c>
      <c r="E139">
        <v>9034945</v>
      </c>
      <c r="F139">
        <v>2698200</v>
      </c>
      <c r="G139">
        <v>888448</v>
      </c>
      <c r="H139">
        <v>13491</v>
      </c>
      <c r="I139">
        <v>219</v>
      </c>
      <c r="J139">
        <v>26</v>
      </c>
      <c r="K139">
        <v>176384</v>
      </c>
      <c r="L139" s="1">
        <f>Marketing[[#This Row],[revenue]]/Marketing[[#This Row],[mark_spent]]</f>
        <v>0.19853047111367239</v>
      </c>
      <c r="M139" s="2">
        <f>IF(Marketing[[#This Row],[orders]]=0,"",Marketing[[#This Row],[mark_spent]]/Marketing[[#This Row],[orders]])</f>
        <v>34171.076923076922</v>
      </c>
    </row>
    <row r="140" spans="1:13" x14ac:dyDescent="0.25">
      <c r="A140">
        <v>139</v>
      </c>
      <c r="B140" t="s">
        <v>38</v>
      </c>
      <c r="C140" t="s">
        <v>21</v>
      </c>
      <c r="D140" t="s">
        <v>14</v>
      </c>
      <c r="E140">
        <v>983498</v>
      </c>
      <c r="F140">
        <v>5100600</v>
      </c>
      <c r="G140">
        <v>166568</v>
      </c>
      <c r="H140">
        <v>25503</v>
      </c>
      <c r="I140">
        <v>510</v>
      </c>
      <c r="J140">
        <v>6</v>
      </c>
      <c r="K140">
        <v>10134</v>
      </c>
      <c r="L140" s="1">
        <f>Marketing[[#This Row],[revenue]]/Marketing[[#This Row],[mark_spent]]</f>
        <v>6.0840017290235818E-2</v>
      </c>
      <c r="M140" s="2">
        <f>IF(Marketing[[#This Row],[orders]]=0,"",Marketing[[#This Row],[mark_spent]]/Marketing[[#This Row],[orders]])</f>
        <v>27761.333333333332</v>
      </c>
    </row>
    <row r="141" spans="1:13" x14ac:dyDescent="0.25">
      <c r="A141">
        <v>140</v>
      </c>
      <c r="B141" t="s">
        <v>38</v>
      </c>
      <c r="C141" t="s">
        <v>22</v>
      </c>
      <c r="D141" t="s">
        <v>14</v>
      </c>
      <c r="E141">
        <v>4387490</v>
      </c>
      <c r="F141">
        <v>50333</v>
      </c>
      <c r="G141">
        <v>836708</v>
      </c>
      <c r="H141">
        <v>1510</v>
      </c>
      <c r="I141">
        <v>19</v>
      </c>
      <c r="J141">
        <v>4</v>
      </c>
      <c r="K141">
        <v>18828</v>
      </c>
      <c r="L141" s="1">
        <f>Marketing[[#This Row],[revenue]]/Marketing[[#This Row],[mark_spent]]</f>
        <v>2.2502473981365064E-2</v>
      </c>
      <c r="M141" s="2">
        <f>IF(Marketing[[#This Row],[orders]]=0,"",Marketing[[#This Row],[mark_spent]]/Marketing[[#This Row],[orders]])</f>
        <v>209177</v>
      </c>
    </row>
    <row r="142" spans="1:13" x14ac:dyDescent="0.25">
      <c r="A142">
        <v>141</v>
      </c>
      <c r="B142" t="s">
        <v>38</v>
      </c>
      <c r="C142" t="s">
        <v>23</v>
      </c>
      <c r="D142" t="s">
        <v>14</v>
      </c>
      <c r="E142">
        <v>544756</v>
      </c>
      <c r="F142">
        <v>495013</v>
      </c>
      <c r="G142">
        <v>171332</v>
      </c>
      <c r="H142">
        <v>6006</v>
      </c>
      <c r="I142">
        <v>128</v>
      </c>
      <c r="J142">
        <v>19</v>
      </c>
      <c r="K142">
        <v>24035</v>
      </c>
      <c r="L142" s="1">
        <f>Marketing[[#This Row],[revenue]]/Marketing[[#This Row],[mark_spent]]</f>
        <v>0.14028319286531413</v>
      </c>
      <c r="M142" s="2">
        <f>IF(Marketing[[#This Row],[orders]]=0,"",Marketing[[#This Row],[mark_spent]]/Marketing[[#This Row],[orders]])</f>
        <v>9017.4736842105267</v>
      </c>
    </row>
    <row r="143" spans="1:13" x14ac:dyDescent="0.25">
      <c r="A143">
        <v>142</v>
      </c>
      <c r="B143" t="s">
        <v>38</v>
      </c>
      <c r="C143" t="s">
        <v>24</v>
      </c>
      <c r="D143" t="s">
        <v>1</v>
      </c>
      <c r="E143">
        <v>374754</v>
      </c>
      <c r="F143">
        <v>1499200</v>
      </c>
      <c r="G143">
        <v>327701</v>
      </c>
      <c r="H143">
        <v>14992</v>
      </c>
      <c r="I143">
        <v>50</v>
      </c>
      <c r="J143">
        <v>8</v>
      </c>
      <c r="K143">
        <v>43976</v>
      </c>
      <c r="L143" s="1">
        <f>Marketing[[#This Row],[revenue]]/Marketing[[#This Row],[mark_spent]]</f>
        <v>0.13419550138693503</v>
      </c>
      <c r="M143" s="2">
        <f>IF(Marketing[[#This Row],[orders]]=0,"",Marketing[[#This Row],[mark_spent]]/Marketing[[#This Row],[orders]])</f>
        <v>40962.625</v>
      </c>
    </row>
    <row r="144" spans="1:13" x14ac:dyDescent="0.25">
      <c r="A144">
        <v>143</v>
      </c>
      <c r="B144" t="s">
        <v>38</v>
      </c>
      <c r="C144" t="s">
        <v>25</v>
      </c>
      <c r="D144" t="s">
        <v>26</v>
      </c>
      <c r="E144">
        <v>39889</v>
      </c>
      <c r="F144">
        <v>17890507</v>
      </c>
      <c r="G144">
        <v>390105</v>
      </c>
      <c r="H144">
        <v>20993</v>
      </c>
      <c r="I144">
        <v>734</v>
      </c>
      <c r="J144">
        <v>118</v>
      </c>
      <c r="K144">
        <v>353174</v>
      </c>
      <c r="L144" s="1">
        <f>Marketing[[#This Row],[revenue]]/Marketing[[#This Row],[mark_spent]]</f>
        <v>0.90533061611617383</v>
      </c>
      <c r="M144" s="2">
        <f>IF(Marketing[[#This Row],[orders]]=0,"",Marketing[[#This Row],[mark_spent]]/Marketing[[#This Row],[orders]])</f>
        <v>3305.9745762711864</v>
      </c>
    </row>
    <row r="145" spans="1:13" x14ac:dyDescent="0.25">
      <c r="A145">
        <v>144</v>
      </c>
      <c r="B145" t="s">
        <v>39</v>
      </c>
      <c r="C145" t="s">
        <v>13</v>
      </c>
      <c r="D145" t="s">
        <v>14</v>
      </c>
      <c r="E145">
        <v>349043</v>
      </c>
      <c r="F145">
        <v>2452315</v>
      </c>
      <c r="G145">
        <v>602449</v>
      </c>
      <c r="H145">
        <v>14406</v>
      </c>
      <c r="I145">
        <v>110</v>
      </c>
      <c r="J145">
        <v>14</v>
      </c>
      <c r="K145">
        <v>63560</v>
      </c>
      <c r="L145" s="1">
        <f>Marketing[[#This Row],[revenue]]/Marketing[[#This Row],[mark_spent]]</f>
        <v>0.10550270645316034</v>
      </c>
      <c r="M145" s="2">
        <f>IF(Marketing[[#This Row],[orders]]=0,"",Marketing[[#This Row],[mark_spent]]/Marketing[[#This Row],[orders]])</f>
        <v>43032.071428571428</v>
      </c>
    </row>
    <row r="146" spans="1:13" x14ac:dyDescent="0.25">
      <c r="A146">
        <v>145</v>
      </c>
      <c r="B146" t="s">
        <v>39</v>
      </c>
      <c r="C146" t="s">
        <v>15</v>
      </c>
      <c r="D146" t="s">
        <v>14</v>
      </c>
      <c r="E146">
        <v>348934</v>
      </c>
      <c r="F146">
        <v>7936534</v>
      </c>
      <c r="G146">
        <v>197948</v>
      </c>
      <c r="H146">
        <v>19797</v>
      </c>
      <c r="I146">
        <v>396</v>
      </c>
      <c r="J146">
        <v>30</v>
      </c>
      <c r="K146">
        <v>149430</v>
      </c>
      <c r="L146" s="1">
        <f>Marketing[[#This Row],[revenue]]/Marketing[[#This Row],[mark_spent]]</f>
        <v>0.75489522500858808</v>
      </c>
      <c r="M146" s="2">
        <f>IF(Marketing[[#This Row],[orders]]=0,"",Marketing[[#This Row],[mark_spent]]/Marketing[[#This Row],[orders]])</f>
        <v>6598.2666666666664</v>
      </c>
    </row>
    <row r="147" spans="1:13" x14ac:dyDescent="0.25">
      <c r="A147">
        <v>146</v>
      </c>
      <c r="B147" t="s">
        <v>39</v>
      </c>
      <c r="C147" t="s">
        <v>16</v>
      </c>
      <c r="D147" t="s">
        <v>17</v>
      </c>
      <c r="E147">
        <v>89459845</v>
      </c>
      <c r="F147">
        <v>263754</v>
      </c>
      <c r="G147">
        <v>564403</v>
      </c>
      <c r="H147">
        <v>5409</v>
      </c>
      <c r="I147">
        <v>90</v>
      </c>
      <c r="J147">
        <v>11</v>
      </c>
      <c r="K147">
        <v>84183</v>
      </c>
      <c r="L147" s="1">
        <f>Marketing[[#This Row],[revenue]]/Marketing[[#This Row],[mark_spent]]</f>
        <v>0.14915406190257671</v>
      </c>
      <c r="M147" s="2">
        <f>IF(Marketing[[#This Row],[orders]]=0,"",Marketing[[#This Row],[mark_spent]]/Marketing[[#This Row],[orders]])</f>
        <v>51309.36363636364</v>
      </c>
    </row>
    <row r="148" spans="1:13" x14ac:dyDescent="0.25">
      <c r="A148">
        <v>147</v>
      </c>
      <c r="B148" t="s">
        <v>39</v>
      </c>
      <c r="C148" t="s">
        <v>18</v>
      </c>
      <c r="D148" t="s">
        <v>17</v>
      </c>
      <c r="E148">
        <v>127823</v>
      </c>
      <c r="F148">
        <v>3111389</v>
      </c>
      <c r="G148">
        <v>196998</v>
      </c>
      <c r="H148">
        <v>14390</v>
      </c>
      <c r="I148">
        <v>498</v>
      </c>
      <c r="J148">
        <v>48</v>
      </c>
      <c r="K148">
        <v>101280</v>
      </c>
      <c r="L148" s="1">
        <f>Marketing[[#This Row],[revenue]]/Marketing[[#This Row],[mark_spent]]</f>
        <v>0.51411689458776233</v>
      </c>
      <c r="M148" s="2">
        <f>IF(Marketing[[#This Row],[orders]]=0,"",Marketing[[#This Row],[mark_spent]]/Marketing[[#This Row],[orders]])</f>
        <v>4104.125</v>
      </c>
    </row>
    <row r="149" spans="1:13" x14ac:dyDescent="0.25">
      <c r="A149">
        <v>148</v>
      </c>
      <c r="B149" t="s">
        <v>39</v>
      </c>
      <c r="C149" t="s">
        <v>19</v>
      </c>
      <c r="D149" t="s">
        <v>1</v>
      </c>
      <c r="E149">
        <v>10934</v>
      </c>
      <c r="F149">
        <v>2511956</v>
      </c>
      <c r="G149">
        <v>231751</v>
      </c>
      <c r="H149">
        <v>26993</v>
      </c>
      <c r="I149">
        <v>540</v>
      </c>
      <c r="J149">
        <v>85</v>
      </c>
      <c r="K149">
        <v>733550</v>
      </c>
      <c r="L149" s="1">
        <f>Marketing[[#This Row],[revenue]]/Marketing[[#This Row],[mark_spent]]</f>
        <v>3.1652506353802141</v>
      </c>
      <c r="M149" s="2">
        <f>IF(Marketing[[#This Row],[orders]]=0,"",Marketing[[#This Row],[mark_spent]]/Marketing[[#This Row],[orders]])</f>
        <v>2726.4823529411765</v>
      </c>
    </row>
    <row r="150" spans="1:13" x14ac:dyDescent="0.25">
      <c r="A150">
        <v>149</v>
      </c>
      <c r="B150" t="s">
        <v>39</v>
      </c>
      <c r="C150" t="s">
        <v>20</v>
      </c>
      <c r="D150" t="s">
        <v>14</v>
      </c>
      <c r="E150">
        <v>9034945</v>
      </c>
      <c r="F150">
        <v>3239400</v>
      </c>
      <c r="G150">
        <v>312844</v>
      </c>
      <c r="H150">
        <v>16197</v>
      </c>
      <c r="I150">
        <v>604</v>
      </c>
      <c r="J150">
        <v>72</v>
      </c>
      <c r="K150">
        <v>377352</v>
      </c>
      <c r="L150" s="1">
        <f>Marketing[[#This Row],[revenue]]/Marketing[[#This Row],[mark_spent]]</f>
        <v>1.2061986165628875</v>
      </c>
      <c r="M150" s="2">
        <f>IF(Marketing[[#This Row],[orders]]=0,"",Marketing[[#This Row],[mark_spent]]/Marketing[[#This Row],[orders]])</f>
        <v>4345.0555555555557</v>
      </c>
    </row>
    <row r="151" spans="1:13" x14ac:dyDescent="0.25">
      <c r="A151">
        <v>150</v>
      </c>
      <c r="B151" t="s">
        <v>39</v>
      </c>
      <c r="C151" t="s">
        <v>21</v>
      </c>
      <c r="D151" t="s">
        <v>14</v>
      </c>
      <c r="E151">
        <v>983498</v>
      </c>
      <c r="F151">
        <v>5130500</v>
      </c>
      <c r="G151">
        <v>218228</v>
      </c>
      <c r="H151">
        <v>30602</v>
      </c>
      <c r="I151">
        <v>935</v>
      </c>
      <c r="J151">
        <v>54</v>
      </c>
      <c r="K151">
        <v>119718</v>
      </c>
      <c r="L151" s="1">
        <f>Marketing[[#This Row],[revenue]]/Marketing[[#This Row],[mark_spent]]</f>
        <v>0.5485913814909178</v>
      </c>
      <c r="M151" s="2">
        <f>IF(Marketing[[#This Row],[orders]]=0,"",Marketing[[#This Row],[mark_spent]]/Marketing[[#This Row],[orders]])</f>
        <v>4041.2592592592591</v>
      </c>
    </row>
    <row r="152" spans="1:13" x14ac:dyDescent="0.25">
      <c r="A152">
        <v>151</v>
      </c>
      <c r="B152" t="s">
        <v>39</v>
      </c>
      <c r="C152" t="s">
        <v>22</v>
      </c>
      <c r="D152" t="s">
        <v>14</v>
      </c>
      <c r="E152">
        <v>4387490</v>
      </c>
      <c r="F152">
        <v>55495</v>
      </c>
      <c r="G152">
        <v>476434</v>
      </c>
      <c r="H152">
        <v>1790</v>
      </c>
      <c r="I152">
        <v>10</v>
      </c>
      <c r="J152">
        <v>2</v>
      </c>
      <c r="K152">
        <v>10902</v>
      </c>
      <c r="L152" s="1">
        <f>Marketing[[#This Row],[revenue]]/Marketing[[#This Row],[mark_spent]]</f>
        <v>2.2882497890578758E-2</v>
      </c>
      <c r="M152" s="2">
        <f>IF(Marketing[[#This Row],[orders]]=0,"",Marketing[[#This Row],[mark_spent]]/Marketing[[#This Row],[orders]])</f>
        <v>238217</v>
      </c>
    </row>
    <row r="153" spans="1:13" x14ac:dyDescent="0.25">
      <c r="A153">
        <v>152</v>
      </c>
      <c r="B153" t="s">
        <v>39</v>
      </c>
      <c r="C153" t="s">
        <v>23</v>
      </c>
      <c r="D153" t="s">
        <v>14</v>
      </c>
      <c r="E153">
        <v>544756</v>
      </c>
      <c r="F153">
        <v>605220</v>
      </c>
      <c r="G153">
        <v>170719</v>
      </c>
      <c r="H153">
        <v>7205</v>
      </c>
      <c r="I153">
        <v>142</v>
      </c>
      <c r="J153">
        <v>21</v>
      </c>
      <c r="K153">
        <v>14280</v>
      </c>
      <c r="L153" s="1">
        <f>Marketing[[#This Row],[revenue]]/Marketing[[#This Row],[mark_spent]]</f>
        <v>8.3646225669081947E-2</v>
      </c>
      <c r="M153" s="2">
        <f>IF(Marketing[[#This Row],[orders]]=0,"",Marketing[[#This Row],[mark_spent]]/Marketing[[#This Row],[orders]])</f>
        <v>8129.4761904761908</v>
      </c>
    </row>
    <row r="154" spans="1:13" x14ac:dyDescent="0.25">
      <c r="A154">
        <v>153</v>
      </c>
      <c r="B154" t="s">
        <v>39</v>
      </c>
      <c r="C154" t="s">
        <v>24</v>
      </c>
      <c r="D154" t="s">
        <v>1</v>
      </c>
      <c r="E154">
        <v>374754</v>
      </c>
      <c r="F154">
        <v>2429465</v>
      </c>
      <c r="G154">
        <v>205870</v>
      </c>
      <c r="H154">
        <v>17998</v>
      </c>
      <c r="I154">
        <v>354</v>
      </c>
      <c r="J154">
        <v>53</v>
      </c>
      <c r="K154">
        <v>306817</v>
      </c>
      <c r="L154" s="1">
        <f>Marketing[[#This Row],[revenue]]/Marketing[[#This Row],[mark_spent]]</f>
        <v>1.4903434206052364</v>
      </c>
      <c r="M154" s="2">
        <f>IF(Marketing[[#This Row],[orders]]=0,"",Marketing[[#This Row],[mark_spent]]/Marketing[[#This Row],[orders]])</f>
        <v>3884.3396226415093</v>
      </c>
    </row>
    <row r="155" spans="1:13" x14ac:dyDescent="0.25">
      <c r="A155">
        <v>154</v>
      </c>
      <c r="B155" t="s">
        <v>39</v>
      </c>
      <c r="C155" t="s">
        <v>25</v>
      </c>
      <c r="D155" t="s">
        <v>26</v>
      </c>
      <c r="E155">
        <v>39889</v>
      </c>
      <c r="F155">
        <v>7218480</v>
      </c>
      <c r="G155">
        <v>225274</v>
      </c>
      <c r="H155">
        <v>25190</v>
      </c>
      <c r="I155">
        <v>504</v>
      </c>
      <c r="J155">
        <v>76</v>
      </c>
      <c r="K155">
        <v>236056</v>
      </c>
      <c r="L155" s="1">
        <f>Marketing[[#This Row],[revenue]]/Marketing[[#This Row],[mark_spent]]</f>
        <v>1.0478617150669851</v>
      </c>
      <c r="M155" s="2">
        <f>IF(Marketing[[#This Row],[orders]]=0,"",Marketing[[#This Row],[mark_spent]]/Marketing[[#This Row],[orders]])</f>
        <v>2964.1315789473683</v>
      </c>
    </row>
    <row r="156" spans="1:13" x14ac:dyDescent="0.25">
      <c r="A156">
        <v>155</v>
      </c>
      <c r="B156" t="s">
        <v>40</v>
      </c>
      <c r="C156" t="s">
        <v>13</v>
      </c>
      <c r="D156" t="s">
        <v>14</v>
      </c>
      <c r="E156">
        <v>349043</v>
      </c>
      <c r="F156">
        <v>3361800</v>
      </c>
      <c r="G156">
        <v>168064</v>
      </c>
      <c r="H156">
        <v>16809</v>
      </c>
      <c r="I156">
        <v>247</v>
      </c>
      <c r="J156">
        <v>30</v>
      </c>
      <c r="K156">
        <v>149430</v>
      </c>
      <c r="L156" s="1">
        <f>Marketing[[#This Row],[revenue]]/Marketing[[#This Row],[mark_spent]]</f>
        <v>0.88912557121096725</v>
      </c>
      <c r="M156" s="2">
        <f>IF(Marketing[[#This Row],[orders]]=0,"",Marketing[[#This Row],[mark_spent]]/Marketing[[#This Row],[orders]])</f>
        <v>5602.1333333333332</v>
      </c>
    </row>
    <row r="157" spans="1:13" x14ac:dyDescent="0.25">
      <c r="A157">
        <v>156</v>
      </c>
      <c r="B157" t="s">
        <v>40</v>
      </c>
      <c r="C157" t="s">
        <v>15</v>
      </c>
      <c r="D157" t="s">
        <v>14</v>
      </c>
      <c r="E157">
        <v>348934</v>
      </c>
      <c r="F157">
        <v>3441545</v>
      </c>
      <c r="G157">
        <v>593576</v>
      </c>
      <c r="H157">
        <v>23103</v>
      </c>
      <c r="I157">
        <v>694</v>
      </c>
      <c r="J157">
        <v>81</v>
      </c>
      <c r="K157">
        <v>403461</v>
      </c>
      <c r="L157" s="1">
        <f>Marketing[[#This Row],[revenue]]/Marketing[[#This Row],[mark_spent]]</f>
        <v>0.67971245468145614</v>
      </c>
      <c r="M157" s="2">
        <f>IF(Marketing[[#This Row],[orders]]=0,"",Marketing[[#This Row],[mark_spent]]/Marketing[[#This Row],[orders]])</f>
        <v>7328.0987654320988</v>
      </c>
    </row>
    <row r="158" spans="1:13" x14ac:dyDescent="0.25">
      <c r="A158">
        <v>157</v>
      </c>
      <c r="B158" t="s">
        <v>40</v>
      </c>
      <c r="C158" t="s">
        <v>16</v>
      </c>
      <c r="D158" t="s">
        <v>17</v>
      </c>
      <c r="E158">
        <v>89459845</v>
      </c>
      <c r="F158">
        <v>315350</v>
      </c>
      <c r="G158">
        <v>829307</v>
      </c>
      <c r="H158">
        <v>6307</v>
      </c>
      <c r="I158">
        <v>126</v>
      </c>
      <c r="J158">
        <v>19</v>
      </c>
      <c r="K158">
        <v>138073</v>
      </c>
      <c r="L158" s="1">
        <f>Marketing[[#This Row],[revenue]]/Marketing[[#This Row],[mark_spent]]</f>
        <v>0.16649202285763898</v>
      </c>
      <c r="M158" s="2">
        <f>IF(Marketing[[#This Row],[orders]]=0,"",Marketing[[#This Row],[mark_spent]]/Marketing[[#This Row],[orders]])</f>
        <v>43647.73684210526</v>
      </c>
    </row>
    <row r="159" spans="1:13" x14ac:dyDescent="0.25">
      <c r="A159">
        <v>158</v>
      </c>
      <c r="B159" t="s">
        <v>40</v>
      </c>
      <c r="C159" t="s">
        <v>18</v>
      </c>
      <c r="D159" t="s">
        <v>17</v>
      </c>
      <c r="E159">
        <v>127823</v>
      </c>
      <c r="F159">
        <v>3359600</v>
      </c>
      <c r="G159">
        <v>124854</v>
      </c>
      <c r="H159">
        <v>16798</v>
      </c>
      <c r="I159">
        <v>336</v>
      </c>
      <c r="J159">
        <v>31</v>
      </c>
      <c r="K159">
        <v>92411</v>
      </c>
      <c r="L159" s="1">
        <f>Marketing[[#This Row],[revenue]]/Marketing[[#This Row],[mark_spent]]</f>
        <v>0.74015249811780159</v>
      </c>
      <c r="M159" s="2">
        <f>IF(Marketing[[#This Row],[orders]]=0,"",Marketing[[#This Row],[mark_spent]]/Marketing[[#This Row],[orders]])</f>
        <v>4027.5483870967741</v>
      </c>
    </row>
    <row r="160" spans="1:13" x14ac:dyDescent="0.25">
      <c r="A160">
        <v>159</v>
      </c>
      <c r="B160" t="s">
        <v>40</v>
      </c>
      <c r="C160" t="s">
        <v>19</v>
      </c>
      <c r="D160" t="s">
        <v>1</v>
      </c>
      <c r="E160">
        <v>10934</v>
      </c>
      <c r="F160">
        <v>2478877</v>
      </c>
      <c r="G160">
        <v>151480</v>
      </c>
      <c r="H160">
        <v>31504</v>
      </c>
      <c r="I160">
        <v>630</v>
      </c>
      <c r="J160">
        <v>98</v>
      </c>
      <c r="K160">
        <v>782138</v>
      </c>
      <c r="L160" s="1">
        <f>Marketing[[#This Row],[revenue]]/Marketing[[#This Row],[mark_spent]]</f>
        <v>5.163308687615527</v>
      </c>
      <c r="M160" s="2">
        <f>IF(Marketing[[#This Row],[orders]]=0,"",Marketing[[#This Row],[mark_spent]]/Marketing[[#This Row],[orders]])</f>
        <v>1545.7142857142858</v>
      </c>
    </row>
    <row r="161" spans="1:13" x14ac:dyDescent="0.25">
      <c r="A161">
        <v>160</v>
      </c>
      <c r="B161" t="s">
        <v>40</v>
      </c>
      <c r="C161" t="s">
        <v>20</v>
      </c>
      <c r="D161" t="s">
        <v>14</v>
      </c>
      <c r="E161">
        <v>9034945</v>
      </c>
      <c r="F161">
        <v>3780200</v>
      </c>
      <c r="G161">
        <v>136269</v>
      </c>
      <c r="H161">
        <v>18901</v>
      </c>
      <c r="I161">
        <v>378</v>
      </c>
      <c r="J161">
        <v>45</v>
      </c>
      <c r="K161">
        <v>269145</v>
      </c>
      <c r="L161" s="1">
        <f>Marketing[[#This Row],[revenue]]/Marketing[[#This Row],[mark_spent]]</f>
        <v>1.9751007198996102</v>
      </c>
      <c r="M161" s="2">
        <f>IF(Marketing[[#This Row],[orders]]=0,"",Marketing[[#This Row],[mark_spent]]/Marketing[[#This Row],[orders]])</f>
        <v>3028.2</v>
      </c>
    </row>
    <row r="162" spans="1:13" x14ac:dyDescent="0.25">
      <c r="A162">
        <v>161</v>
      </c>
      <c r="B162" t="s">
        <v>40</v>
      </c>
      <c r="C162" t="s">
        <v>21</v>
      </c>
      <c r="D162" t="s">
        <v>14</v>
      </c>
      <c r="E162">
        <v>983498</v>
      </c>
      <c r="F162">
        <v>7138400</v>
      </c>
      <c r="G162">
        <v>370986</v>
      </c>
      <c r="H162">
        <v>35692</v>
      </c>
      <c r="I162">
        <v>916</v>
      </c>
      <c r="J162">
        <v>11</v>
      </c>
      <c r="K162">
        <v>21791</v>
      </c>
      <c r="L162" s="1">
        <f>Marketing[[#This Row],[revenue]]/Marketing[[#This Row],[mark_spent]]</f>
        <v>5.8738065587380657E-2</v>
      </c>
      <c r="M162" s="2">
        <f>IF(Marketing[[#This Row],[orders]]=0,"",Marketing[[#This Row],[mark_spent]]/Marketing[[#This Row],[orders]])</f>
        <v>33726</v>
      </c>
    </row>
    <row r="163" spans="1:13" x14ac:dyDescent="0.25">
      <c r="A163">
        <v>162</v>
      </c>
      <c r="B163" t="s">
        <v>40</v>
      </c>
      <c r="C163" t="s">
        <v>22</v>
      </c>
      <c r="D163" t="s">
        <v>14</v>
      </c>
      <c r="E163">
        <v>4387490</v>
      </c>
      <c r="F163">
        <v>63986</v>
      </c>
      <c r="G163">
        <v>146095</v>
      </c>
      <c r="H163">
        <v>2099</v>
      </c>
      <c r="I163">
        <v>28</v>
      </c>
      <c r="J163">
        <v>5</v>
      </c>
      <c r="K163">
        <v>24905</v>
      </c>
      <c r="L163" s="1">
        <f>Marketing[[#This Row],[revenue]]/Marketing[[#This Row],[mark_spent]]</f>
        <v>0.17047126869502721</v>
      </c>
      <c r="M163" s="2">
        <f>IF(Marketing[[#This Row],[orders]]=0,"",Marketing[[#This Row],[mark_spent]]/Marketing[[#This Row],[orders]])</f>
        <v>29219</v>
      </c>
    </row>
    <row r="164" spans="1:13" x14ac:dyDescent="0.25">
      <c r="A164">
        <v>163</v>
      </c>
      <c r="B164" t="s">
        <v>40</v>
      </c>
      <c r="C164" t="s">
        <v>23</v>
      </c>
      <c r="D164" t="s">
        <v>14</v>
      </c>
      <c r="E164">
        <v>544756</v>
      </c>
      <c r="F164">
        <v>1093435</v>
      </c>
      <c r="G164">
        <v>658776</v>
      </c>
      <c r="H164">
        <v>8402</v>
      </c>
      <c r="I164">
        <v>4</v>
      </c>
      <c r="J164">
        <v>1</v>
      </c>
      <c r="K164">
        <v>741</v>
      </c>
      <c r="L164" s="1">
        <f>Marketing[[#This Row],[revenue]]/Marketing[[#This Row],[mark_spent]]</f>
        <v>1.1248132901016431E-3</v>
      </c>
      <c r="M164" s="2">
        <f>IF(Marketing[[#This Row],[orders]]=0,"",Marketing[[#This Row],[mark_spent]]/Marketing[[#This Row],[orders]])</f>
        <v>658776</v>
      </c>
    </row>
    <row r="165" spans="1:13" x14ac:dyDescent="0.25">
      <c r="A165">
        <v>164</v>
      </c>
      <c r="B165" t="s">
        <v>40</v>
      </c>
      <c r="C165" t="s">
        <v>24</v>
      </c>
      <c r="D165" t="s">
        <v>1</v>
      </c>
      <c r="E165">
        <v>374754</v>
      </c>
      <c r="F165">
        <v>2100700</v>
      </c>
      <c r="G165">
        <v>82452</v>
      </c>
      <c r="H165">
        <v>21007</v>
      </c>
      <c r="I165">
        <v>122</v>
      </c>
      <c r="J165">
        <v>24</v>
      </c>
      <c r="K165">
        <v>103392</v>
      </c>
      <c r="L165" s="1">
        <f>Marketing[[#This Row],[revenue]]/Marketing[[#This Row],[mark_spent]]</f>
        <v>1.25396594382186</v>
      </c>
      <c r="M165" s="2">
        <f>IF(Marketing[[#This Row],[orders]]=0,"",Marketing[[#This Row],[mark_spent]]/Marketing[[#This Row],[orders]])</f>
        <v>3435.5</v>
      </c>
    </row>
    <row r="166" spans="1:13" x14ac:dyDescent="0.25">
      <c r="A166">
        <v>165</v>
      </c>
      <c r="B166" t="s">
        <v>40</v>
      </c>
      <c r="C166" t="s">
        <v>25</v>
      </c>
      <c r="D166" t="s">
        <v>26</v>
      </c>
      <c r="E166">
        <v>39889</v>
      </c>
      <c r="F166">
        <v>8747458</v>
      </c>
      <c r="G166">
        <v>543275</v>
      </c>
      <c r="H166">
        <v>29390</v>
      </c>
      <c r="I166">
        <v>1061</v>
      </c>
      <c r="J166">
        <v>171</v>
      </c>
      <c r="K166">
        <v>809685</v>
      </c>
      <c r="L166" s="1">
        <f>Marketing[[#This Row],[revenue]]/Marketing[[#This Row],[mark_spent]]</f>
        <v>1.4903778012976854</v>
      </c>
      <c r="M166" s="2">
        <f>IF(Marketing[[#This Row],[orders]]=0,"",Marketing[[#This Row],[mark_spent]]/Marketing[[#This Row],[orders]])</f>
        <v>3177.0467836257308</v>
      </c>
    </row>
    <row r="167" spans="1:13" x14ac:dyDescent="0.25">
      <c r="A167">
        <v>166</v>
      </c>
      <c r="B167" t="s">
        <v>41</v>
      </c>
      <c r="C167" t="s">
        <v>13</v>
      </c>
      <c r="D167" t="s">
        <v>14</v>
      </c>
      <c r="E167">
        <v>349043</v>
      </c>
      <c r="F167">
        <v>3839000</v>
      </c>
      <c r="G167">
        <v>393027</v>
      </c>
      <c r="H167">
        <v>19195</v>
      </c>
      <c r="I167">
        <v>384</v>
      </c>
      <c r="J167">
        <v>64</v>
      </c>
      <c r="K167">
        <v>336448</v>
      </c>
      <c r="L167" s="1">
        <f>Marketing[[#This Row],[revenue]]/Marketing[[#This Row],[mark_spent]]</f>
        <v>0.8560429690581054</v>
      </c>
      <c r="M167" s="2">
        <f>IF(Marketing[[#This Row],[orders]]=0,"",Marketing[[#This Row],[mark_spent]]/Marketing[[#This Row],[orders]])</f>
        <v>6141.046875</v>
      </c>
    </row>
    <row r="168" spans="1:13" x14ac:dyDescent="0.25">
      <c r="A168">
        <v>167</v>
      </c>
      <c r="B168" t="s">
        <v>41</v>
      </c>
      <c r="C168" t="s">
        <v>15</v>
      </c>
      <c r="D168" t="s">
        <v>14</v>
      </c>
      <c r="E168">
        <v>348934</v>
      </c>
      <c r="F168">
        <v>5280000</v>
      </c>
      <c r="G168">
        <v>595176</v>
      </c>
      <c r="H168">
        <v>26400</v>
      </c>
      <c r="I168">
        <v>923</v>
      </c>
      <c r="J168">
        <v>80</v>
      </c>
      <c r="K168">
        <v>392160</v>
      </c>
      <c r="L168" s="1">
        <f>Marketing[[#This Row],[revenue]]/Marketing[[#This Row],[mark_spent]]</f>
        <v>0.65889753619097546</v>
      </c>
      <c r="M168" s="2">
        <f>IF(Marketing[[#This Row],[orders]]=0,"",Marketing[[#This Row],[mark_spent]]/Marketing[[#This Row],[orders]])</f>
        <v>7439.7</v>
      </c>
    </row>
    <row r="169" spans="1:13" x14ac:dyDescent="0.25">
      <c r="A169">
        <v>168</v>
      </c>
      <c r="B169" t="s">
        <v>41</v>
      </c>
      <c r="C169" t="s">
        <v>16</v>
      </c>
      <c r="D169" t="s">
        <v>17</v>
      </c>
      <c r="E169">
        <v>89459845</v>
      </c>
      <c r="F169">
        <v>373184</v>
      </c>
      <c r="G169">
        <v>102053</v>
      </c>
      <c r="H169">
        <v>7198</v>
      </c>
      <c r="I169">
        <v>144</v>
      </c>
      <c r="J169">
        <v>22</v>
      </c>
      <c r="K169">
        <v>185482</v>
      </c>
      <c r="L169" s="1">
        <f>Marketing[[#This Row],[revenue]]/Marketing[[#This Row],[mark_spent]]</f>
        <v>1.8175065897131883</v>
      </c>
      <c r="M169" s="2">
        <f>IF(Marketing[[#This Row],[orders]]=0,"",Marketing[[#This Row],[mark_spent]]/Marketing[[#This Row],[orders]])</f>
        <v>4638.772727272727</v>
      </c>
    </row>
    <row r="170" spans="1:13" x14ac:dyDescent="0.25">
      <c r="A170">
        <v>169</v>
      </c>
      <c r="B170" t="s">
        <v>41</v>
      </c>
      <c r="C170" t="s">
        <v>18</v>
      </c>
      <c r="D170" t="s">
        <v>17</v>
      </c>
      <c r="E170">
        <v>127823</v>
      </c>
      <c r="F170">
        <v>3841400</v>
      </c>
      <c r="G170">
        <v>271906</v>
      </c>
      <c r="H170">
        <v>19207</v>
      </c>
      <c r="I170">
        <v>666</v>
      </c>
      <c r="J170">
        <v>67</v>
      </c>
      <c r="K170">
        <v>199727</v>
      </c>
      <c r="L170" s="1">
        <f>Marketing[[#This Row],[revenue]]/Marketing[[#This Row],[mark_spent]]</f>
        <v>0.73454429104175711</v>
      </c>
      <c r="M170" s="2">
        <f>IF(Marketing[[#This Row],[orders]]=0,"",Marketing[[#This Row],[mark_spent]]/Marketing[[#This Row],[orders]])</f>
        <v>4058.2985074626868</v>
      </c>
    </row>
    <row r="171" spans="1:13" x14ac:dyDescent="0.25">
      <c r="A171">
        <v>170</v>
      </c>
      <c r="B171" t="s">
        <v>41</v>
      </c>
      <c r="C171" t="s">
        <v>19</v>
      </c>
      <c r="D171" t="s">
        <v>1</v>
      </c>
      <c r="E171">
        <v>10934</v>
      </c>
      <c r="F171">
        <v>4371118</v>
      </c>
      <c r="G171">
        <v>221258</v>
      </c>
      <c r="H171">
        <v>35999</v>
      </c>
      <c r="I171">
        <v>720</v>
      </c>
      <c r="J171">
        <v>128</v>
      </c>
      <c r="K171">
        <v>1021570</v>
      </c>
      <c r="L171" s="1">
        <f>Marketing[[#This Row],[revenue]]/Marketing[[#This Row],[mark_spent]]</f>
        <v>4.6170985907854183</v>
      </c>
      <c r="M171" s="2">
        <f>IF(Marketing[[#This Row],[orders]]=0,"",Marketing[[#This Row],[mark_spent]]/Marketing[[#This Row],[orders]])</f>
        <v>1728.578125</v>
      </c>
    </row>
    <row r="172" spans="1:13" x14ac:dyDescent="0.25">
      <c r="A172">
        <v>171</v>
      </c>
      <c r="B172" t="s">
        <v>41</v>
      </c>
      <c r="C172" t="s">
        <v>20</v>
      </c>
      <c r="D172" t="s">
        <v>14</v>
      </c>
      <c r="E172">
        <v>9034945</v>
      </c>
      <c r="F172">
        <v>4319200</v>
      </c>
      <c r="G172">
        <v>143680</v>
      </c>
      <c r="H172">
        <v>21596</v>
      </c>
      <c r="I172">
        <v>432</v>
      </c>
      <c r="J172">
        <v>34</v>
      </c>
      <c r="K172">
        <v>171972</v>
      </c>
      <c r="L172" s="1">
        <f>Marketing[[#This Row],[revenue]]/Marketing[[#This Row],[mark_spent]]</f>
        <v>1.1969097995545657</v>
      </c>
      <c r="M172" s="2">
        <f>IF(Marketing[[#This Row],[orders]]=0,"",Marketing[[#This Row],[mark_spent]]/Marketing[[#This Row],[orders]])</f>
        <v>4225.8823529411766</v>
      </c>
    </row>
    <row r="173" spans="1:13" x14ac:dyDescent="0.25">
      <c r="A173">
        <v>172</v>
      </c>
      <c r="B173" t="s">
        <v>41</v>
      </c>
      <c r="C173" t="s">
        <v>21</v>
      </c>
      <c r="D173" t="s">
        <v>14</v>
      </c>
      <c r="E173">
        <v>983498</v>
      </c>
      <c r="F173">
        <v>15988504</v>
      </c>
      <c r="G173">
        <v>103731</v>
      </c>
      <c r="H173">
        <v>40794</v>
      </c>
      <c r="I173">
        <v>816</v>
      </c>
      <c r="J173">
        <v>24</v>
      </c>
      <c r="K173">
        <v>41424</v>
      </c>
      <c r="L173" s="1">
        <f>Marketing[[#This Row],[revenue]]/Marketing[[#This Row],[mark_spent]]</f>
        <v>0.39934060213436678</v>
      </c>
      <c r="M173" s="2">
        <f>IF(Marketing[[#This Row],[orders]]=0,"",Marketing[[#This Row],[mark_spent]]/Marketing[[#This Row],[orders]])</f>
        <v>4322.125</v>
      </c>
    </row>
    <row r="174" spans="1:13" x14ac:dyDescent="0.25">
      <c r="A174">
        <v>173</v>
      </c>
      <c r="B174" t="s">
        <v>41</v>
      </c>
      <c r="C174" t="s">
        <v>22</v>
      </c>
      <c r="D174" t="s">
        <v>14</v>
      </c>
      <c r="E174">
        <v>4387490</v>
      </c>
      <c r="F174">
        <v>80233</v>
      </c>
      <c r="G174">
        <v>31712</v>
      </c>
      <c r="H174">
        <v>2407</v>
      </c>
      <c r="I174">
        <v>48</v>
      </c>
      <c r="J174">
        <v>12</v>
      </c>
      <c r="K174">
        <v>59772</v>
      </c>
      <c r="L174" s="1">
        <f>Marketing[[#This Row],[revenue]]/Marketing[[#This Row],[mark_spent]]</f>
        <v>1.8848385469223008</v>
      </c>
      <c r="M174" s="2">
        <f>IF(Marketing[[#This Row],[orders]]=0,"",Marketing[[#This Row],[mark_spent]]/Marketing[[#This Row],[orders]])</f>
        <v>2642.6666666666665</v>
      </c>
    </row>
    <row r="175" spans="1:13" x14ac:dyDescent="0.25">
      <c r="A175">
        <v>174</v>
      </c>
      <c r="B175" t="s">
        <v>41</v>
      </c>
      <c r="C175" t="s">
        <v>23</v>
      </c>
      <c r="D175" t="s">
        <v>14</v>
      </c>
      <c r="E175">
        <v>544756</v>
      </c>
      <c r="F175">
        <v>1576818</v>
      </c>
      <c r="G175">
        <v>345629</v>
      </c>
      <c r="H175">
        <v>9597</v>
      </c>
      <c r="I175">
        <v>292</v>
      </c>
      <c r="J175">
        <v>39</v>
      </c>
      <c r="K175">
        <v>25857</v>
      </c>
      <c r="L175" s="1">
        <f>Marketing[[#This Row],[revenue]]/Marketing[[#This Row],[mark_spent]]</f>
        <v>7.481143075378513E-2</v>
      </c>
      <c r="M175" s="2">
        <f>IF(Marketing[[#This Row],[orders]]=0,"",Marketing[[#This Row],[mark_spent]]/Marketing[[#This Row],[orders]])</f>
        <v>8862.2820512820508</v>
      </c>
    </row>
    <row r="176" spans="1:13" x14ac:dyDescent="0.25">
      <c r="A176">
        <v>175</v>
      </c>
      <c r="B176" t="s">
        <v>41</v>
      </c>
      <c r="C176" t="s">
        <v>24</v>
      </c>
      <c r="D176" t="s">
        <v>1</v>
      </c>
      <c r="E176">
        <v>374754</v>
      </c>
      <c r="F176">
        <v>3937010</v>
      </c>
      <c r="G176">
        <v>620903</v>
      </c>
      <c r="H176">
        <v>23994</v>
      </c>
      <c r="I176">
        <v>833</v>
      </c>
      <c r="J176">
        <v>160</v>
      </c>
      <c r="K176">
        <v>939360</v>
      </c>
      <c r="L176" s="1">
        <f>Marketing[[#This Row],[revenue]]/Marketing[[#This Row],[mark_spent]]</f>
        <v>1.5128933182799891</v>
      </c>
      <c r="M176" s="2">
        <f>IF(Marketing[[#This Row],[orders]]=0,"",Marketing[[#This Row],[mark_spent]]/Marketing[[#This Row],[orders]])</f>
        <v>3880.6437500000002</v>
      </c>
    </row>
    <row r="177" spans="1:13" x14ac:dyDescent="0.25">
      <c r="A177">
        <v>176</v>
      </c>
      <c r="B177" t="s">
        <v>41</v>
      </c>
      <c r="C177" t="s">
        <v>25</v>
      </c>
      <c r="D177" t="s">
        <v>26</v>
      </c>
      <c r="E177">
        <v>39889</v>
      </c>
      <c r="F177">
        <v>56876855</v>
      </c>
      <c r="G177">
        <v>206424</v>
      </c>
      <c r="H177">
        <v>33592</v>
      </c>
      <c r="I177">
        <v>416</v>
      </c>
      <c r="J177">
        <v>62</v>
      </c>
      <c r="K177">
        <v>246822</v>
      </c>
      <c r="L177" s="1">
        <f>Marketing[[#This Row],[revenue]]/Marketing[[#This Row],[mark_spent]]</f>
        <v>1.1957039879083828</v>
      </c>
      <c r="M177" s="2">
        <f>IF(Marketing[[#This Row],[orders]]=0,"",Marketing[[#This Row],[mark_spent]]/Marketing[[#This Row],[orders]])</f>
        <v>3329.4193548387098</v>
      </c>
    </row>
    <row r="178" spans="1:13" x14ac:dyDescent="0.25">
      <c r="A178">
        <v>177</v>
      </c>
      <c r="B178" t="s">
        <v>42</v>
      </c>
      <c r="C178" t="s">
        <v>13</v>
      </c>
      <c r="D178" t="s">
        <v>14</v>
      </c>
      <c r="E178">
        <v>349043</v>
      </c>
      <c r="F178">
        <v>4320600</v>
      </c>
      <c r="G178">
        <v>489831</v>
      </c>
      <c r="H178">
        <v>21603</v>
      </c>
      <c r="I178">
        <v>652</v>
      </c>
      <c r="J178">
        <v>86</v>
      </c>
      <c r="K178">
        <v>428366</v>
      </c>
      <c r="L178" s="1">
        <f>Marketing[[#This Row],[revenue]]/Marketing[[#This Row],[mark_spent]]</f>
        <v>0.87451794598545207</v>
      </c>
      <c r="M178" s="2">
        <f>IF(Marketing[[#This Row],[orders]]=0,"",Marketing[[#This Row],[mark_spent]]/Marketing[[#This Row],[orders]])</f>
        <v>5695.7093023255811</v>
      </c>
    </row>
    <row r="179" spans="1:13" x14ac:dyDescent="0.25">
      <c r="A179">
        <v>178</v>
      </c>
      <c r="B179" t="s">
        <v>42</v>
      </c>
      <c r="C179" t="s">
        <v>15</v>
      </c>
      <c r="D179" t="s">
        <v>14</v>
      </c>
      <c r="E179">
        <v>348934</v>
      </c>
      <c r="F179">
        <v>6102420</v>
      </c>
      <c r="G179">
        <v>403691</v>
      </c>
      <c r="H179">
        <v>29704</v>
      </c>
      <c r="I179">
        <v>594</v>
      </c>
      <c r="J179">
        <v>61</v>
      </c>
      <c r="K179">
        <v>303841</v>
      </c>
      <c r="L179" s="1">
        <f>Marketing[[#This Row],[revenue]]/Marketing[[#This Row],[mark_spent]]</f>
        <v>0.7526573542635332</v>
      </c>
      <c r="M179" s="2">
        <f>IF(Marketing[[#This Row],[orders]]=0,"",Marketing[[#This Row],[mark_spent]]/Marketing[[#This Row],[orders]])</f>
        <v>6617.8852459016398</v>
      </c>
    </row>
    <row r="180" spans="1:13" x14ac:dyDescent="0.25">
      <c r="A180">
        <v>179</v>
      </c>
      <c r="B180" t="s">
        <v>42</v>
      </c>
      <c r="C180" t="s">
        <v>16</v>
      </c>
      <c r="D180" t="s">
        <v>17</v>
      </c>
      <c r="E180">
        <v>89459845</v>
      </c>
      <c r="F180">
        <v>490058</v>
      </c>
      <c r="G180">
        <v>116213</v>
      </c>
      <c r="H180">
        <v>8104</v>
      </c>
      <c r="I180">
        <v>162</v>
      </c>
      <c r="J180">
        <v>31</v>
      </c>
      <c r="K180">
        <v>227726</v>
      </c>
      <c r="L180" s="1">
        <f>Marketing[[#This Row],[revenue]]/Marketing[[#This Row],[mark_spent]]</f>
        <v>1.9595570202989339</v>
      </c>
      <c r="M180" s="2">
        <f>IF(Marketing[[#This Row],[orders]]=0,"",Marketing[[#This Row],[mark_spent]]/Marketing[[#This Row],[orders]])</f>
        <v>3748.8064516129034</v>
      </c>
    </row>
    <row r="181" spans="1:13" x14ac:dyDescent="0.25">
      <c r="A181">
        <v>180</v>
      </c>
      <c r="B181" t="s">
        <v>42</v>
      </c>
      <c r="C181" t="s">
        <v>18</v>
      </c>
      <c r="D181" t="s">
        <v>17</v>
      </c>
      <c r="E181">
        <v>127823</v>
      </c>
      <c r="F181">
        <v>4319200</v>
      </c>
      <c r="G181">
        <v>180223</v>
      </c>
      <c r="H181">
        <v>21596</v>
      </c>
      <c r="I181">
        <v>442</v>
      </c>
      <c r="J181">
        <v>44</v>
      </c>
      <c r="K181">
        <v>136708</v>
      </c>
      <c r="L181" s="1">
        <f>Marketing[[#This Row],[revenue]]/Marketing[[#This Row],[mark_spent]]</f>
        <v>0.75854913079906561</v>
      </c>
      <c r="M181" s="2">
        <f>IF(Marketing[[#This Row],[orders]]=0,"",Marketing[[#This Row],[mark_spent]]/Marketing[[#This Row],[orders]])</f>
        <v>4095.9772727272725</v>
      </c>
    </row>
    <row r="182" spans="1:13" x14ac:dyDescent="0.25">
      <c r="A182">
        <v>181</v>
      </c>
      <c r="B182" t="s">
        <v>42</v>
      </c>
      <c r="C182" t="s">
        <v>19</v>
      </c>
      <c r="D182" t="s">
        <v>1</v>
      </c>
      <c r="E182">
        <v>10934</v>
      </c>
      <c r="F182">
        <v>4049400</v>
      </c>
      <c r="G182">
        <v>363811</v>
      </c>
      <c r="H182">
        <v>40494</v>
      </c>
      <c r="I182">
        <v>746</v>
      </c>
      <c r="J182">
        <v>149</v>
      </c>
      <c r="K182">
        <v>1189170</v>
      </c>
      <c r="L182" s="1">
        <f>Marketing[[#This Row],[revenue]]/Marketing[[#This Row],[mark_spent]]</f>
        <v>3.268647731926742</v>
      </c>
      <c r="M182" s="2">
        <f>IF(Marketing[[#This Row],[orders]]=0,"",Marketing[[#This Row],[mark_spent]]/Marketing[[#This Row],[orders]])</f>
        <v>2441.6845637583892</v>
      </c>
    </row>
    <row r="183" spans="1:13" x14ac:dyDescent="0.25">
      <c r="A183">
        <v>182</v>
      </c>
      <c r="B183" t="s">
        <v>42</v>
      </c>
      <c r="C183" t="s">
        <v>20</v>
      </c>
      <c r="D183" t="s">
        <v>14</v>
      </c>
      <c r="E183">
        <v>9034945</v>
      </c>
      <c r="F183">
        <v>4999407</v>
      </c>
      <c r="G183">
        <v>246023</v>
      </c>
      <c r="H183">
        <v>24294</v>
      </c>
      <c r="I183">
        <v>606</v>
      </c>
      <c r="J183">
        <v>73</v>
      </c>
      <c r="K183">
        <v>496546</v>
      </c>
      <c r="L183" s="1">
        <f>Marketing[[#This Row],[revenue]]/Marketing[[#This Row],[mark_spent]]</f>
        <v>2.0182909727952265</v>
      </c>
      <c r="M183" s="2">
        <f>IF(Marketing[[#This Row],[orders]]=0,"",Marketing[[#This Row],[mark_spent]]/Marketing[[#This Row],[orders]])</f>
        <v>3370.178082191781</v>
      </c>
    </row>
    <row r="184" spans="1:13" x14ac:dyDescent="0.25">
      <c r="A184">
        <v>183</v>
      </c>
      <c r="B184" t="s">
        <v>42</v>
      </c>
      <c r="C184" t="s">
        <v>21</v>
      </c>
      <c r="D184" t="s">
        <v>14</v>
      </c>
      <c r="E184">
        <v>983498</v>
      </c>
      <c r="F184">
        <v>32964848</v>
      </c>
      <c r="G184">
        <v>162819</v>
      </c>
      <c r="H184">
        <v>45907</v>
      </c>
      <c r="I184">
        <v>974</v>
      </c>
      <c r="J184">
        <v>46</v>
      </c>
      <c r="K184">
        <v>121900</v>
      </c>
      <c r="L184" s="1">
        <f>Marketing[[#This Row],[revenue]]/Marketing[[#This Row],[mark_spent]]</f>
        <v>0.74868412163199627</v>
      </c>
      <c r="M184" s="2">
        <f>IF(Marketing[[#This Row],[orders]]=0,"",Marketing[[#This Row],[mark_spent]]/Marketing[[#This Row],[orders]])</f>
        <v>3539.5434782608695</v>
      </c>
    </row>
    <row r="185" spans="1:13" x14ac:dyDescent="0.25">
      <c r="A185">
        <v>184</v>
      </c>
      <c r="B185" t="s">
        <v>42</v>
      </c>
      <c r="C185" t="s">
        <v>22</v>
      </c>
      <c r="D185" t="s">
        <v>14</v>
      </c>
      <c r="E185">
        <v>4387490</v>
      </c>
      <c r="F185">
        <v>84332</v>
      </c>
      <c r="G185">
        <v>314225</v>
      </c>
      <c r="H185">
        <v>2698</v>
      </c>
      <c r="I185">
        <v>54</v>
      </c>
      <c r="J185">
        <v>11</v>
      </c>
      <c r="K185">
        <v>45441</v>
      </c>
      <c r="L185" s="1">
        <f>Marketing[[#This Row],[revenue]]/Marketing[[#This Row],[mark_spent]]</f>
        <v>0.14461293659002308</v>
      </c>
      <c r="M185" s="2">
        <f>IF(Marketing[[#This Row],[orders]]=0,"",Marketing[[#This Row],[mark_spent]]/Marketing[[#This Row],[orders]])</f>
        <v>28565.909090909092</v>
      </c>
    </row>
    <row r="186" spans="1:13" x14ac:dyDescent="0.25">
      <c r="A186">
        <v>185</v>
      </c>
      <c r="B186" t="s">
        <v>42</v>
      </c>
      <c r="C186" t="s">
        <v>23</v>
      </c>
      <c r="D186" t="s">
        <v>14</v>
      </c>
      <c r="E186">
        <v>544756</v>
      </c>
      <c r="F186">
        <v>1361187</v>
      </c>
      <c r="G186">
        <v>291254</v>
      </c>
      <c r="H186">
        <v>10810</v>
      </c>
      <c r="I186">
        <v>216</v>
      </c>
      <c r="J186">
        <v>32</v>
      </c>
      <c r="K186">
        <v>31392</v>
      </c>
      <c r="L186" s="1">
        <f>Marketing[[#This Row],[revenue]]/Marketing[[#This Row],[mark_spent]]</f>
        <v>0.10778221071641934</v>
      </c>
      <c r="M186" s="2">
        <f>IF(Marketing[[#This Row],[orders]]=0,"",Marketing[[#This Row],[mark_spent]]/Marketing[[#This Row],[orders]])</f>
        <v>9101.6875</v>
      </c>
    </row>
    <row r="187" spans="1:13" x14ac:dyDescent="0.25">
      <c r="A187">
        <v>186</v>
      </c>
      <c r="B187" t="s">
        <v>42</v>
      </c>
      <c r="C187" t="s">
        <v>24</v>
      </c>
      <c r="D187" t="s">
        <v>1</v>
      </c>
      <c r="E187">
        <v>374754</v>
      </c>
      <c r="F187">
        <v>2795511</v>
      </c>
      <c r="G187">
        <v>462606</v>
      </c>
      <c r="H187">
        <v>26990</v>
      </c>
      <c r="I187">
        <v>795</v>
      </c>
      <c r="J187">
        <v>119</v>
      </c>
      <c r="K187">
        <v>592739</v>
      </c>
      <c r="L187" s="1">
        <f>Marketing[[#This Row],[revenue]]/Marketing[[#This Row],[mark_spent]]</f>
        <v>1.2813041767724587</v>
      </c>
      <c r="M187" s="2">
        <f>IF(Marketing[[#This Row],[orders]]=0,"",Marketing[[#This Row],[mark_spent]]/Marketing[[#This Row],[orders]])</f>
        <v>3887.4453781512607</v>
      </c>
    </row>
    <row r="188" spans="1:13" x14ac:dyDescent="0.25">
      <c r="A188">
        <v>187</v>
      </c>
      <c r="B188" t="s">
        <v>42</v>
      </c>
      <c r="C188" t="s">
        <v>25</v>
      </c>
      <c r="D188" t="s">
        <v>26</v>
      </c>
      <c r="E188">
        <v>39889</v>
      </c>
      <c r="F188">
        <v>16553044</v>
      </c>
      <c r="G188">
        <v>523398</v>
      </c>
      <c r="H188">
        <v>37805</v>
      </c>
      <c r="I188">
        <v>756</v>
      </c>
      <c r="J188">
        <v>142</v>
      </c>
      <c r="K188">
        <v>565302</v>
      </c>
      <c r="L188" s="1">
        <f>Marketing[[#This Row],[revenue]]/Marketing[[#This Row],[mark_spent]]</f>
        <v>1.0800614446367773</v>
      </c>
      <c r="M188" s="2">
        <f>IF(Marketing[[#This Row],[orders]]=0,"",Marketing[[#This Row],[mark_spent]]/Marketing[[#This Row],[orders]])</f>
        <v>3685.9014084507044</v>
      </c>
    </row>
    <row r="189" spans="1:13" x14ac:dyDescent="0.25">
      <c r="A189">
        <v>188</v>
      </c>
      <c r="B189" t="s">
        <v>43</v>
      </c>
      <c r="C189" t="s">
        <v>13</v>
      </c>
      <c r="D189" t="s">
        <v>14</v>
      </c>
      <c r="E189">
        <v>349043</v>
      </c>
      <c r="F189">
        <v>4798200</v>
      </c>
      <c r="G189">
        <v>308922</v>
      </c>
      <c r="H189">
        <v>23991</v>
      </c>
      <c r="I189">
        <v>61</v>
      </c>
      <c r="J189">
        <v>6</v>
      </c>
      <c r="K189">
        <v>25686</v>
      </c>
      <c r="L189" s="1">
        <f>Marketing[[#This Row],[revenue]]/Marketing[[#This Row],[mark_spent]]</f>
        <v>8.3147202206382193E-2</v>
      </c>
      <c r="M189" s="2">
        <f>IF(Marketing[[#This Row],[orders]]=0,"",Marketing[[#This Row],[mark_spent]]/Marketing[[#This Row],[orders]])</f>
        <v>51487</v>
      </c>
    </row>
    <row r="190" spans="1:13" x14ac:dyDescent="0.25">
      <c r="A190">
        <v>189</v>
      </c>
      <c r="B190" t="s">
        <v>43</v>
      </c>
      <c r="C190" t="s">
        <v>15</v>
      </c>
      <c r="D190" t="s">
        <v>14</v>
      </c>
      <c r="E190">
        <v>348934</v>
      </c>
      <c r="F190">
        <v>4678356</v>
      </c>
      <c r="G190">
        <v>373294</v>
      </c>
      <c r="H190">
        <v>33003</v>
      </c>
      <c r="I190">
        <v>1313</v>
      </c>
      <c r="J190">
        <v>51</v>
      </c>
      <c r="K190">
        <v>237711</v>
      </c>
      <c r="L190" s="1">
        <f>Marketing[[#This Row],[revenue]]/Marketing[[#This Row],[mark_spent]]</f>
        <v>0.63679298354648084</v>
      </c>
      <c r="M190" s="2">
        <f>IF(Marketing[[#This Row],[orders]]=0,"",Marketing[[#This Row],[mark_spent]]/Marketing[[#This Row],[orders]])</f>
        <v>7319.4901960784309</v>
      </c>
    </row>
    <row r="191" spans="1:13" x14ac:dyDescent="0.25">
      <c r="A191">
        <v>190</v>
      </c>
      <c r="B191" t="s">
        <v>43</v>
      </c>
      <c r="C191" t="s">
        <v>16</v>
      </c>
      <c r="D191" t="s">
        <v>17</v>
      </c>
      <c r="E191">
        <v>89459845</v>
      </c>
      <c r="F191">
        <v>527210</v>
      </c>
      <c r="G191">
        <v>119542</v>
      </c>
      <c r="H191">
        <v>9004</v>
      </c>
      <c r="I191">
        <v>162</v>
      </c>
      <c r="J191">
        <v>28</v>
      </c>
      <c r="K191">
        <v>214368</v>
      </c>
      <c r="L191" s="1">
        <f>Marketing[[#This Row],[revenue]]/Marketing[[#This Row],[mark_spent]]</f>
        <v>1.7932442154221948</v>
      </c>
      <c r="M191" s="2">
        <f>IF(Marketing[[#This Row],[orders]]=0,"",Marketing[[#This Row],[mark_spent]]/Marketing[[#This Row],[orders]])</f>
        <v>4269.3571428571431</v>
      </c>
    </row>
    <row r="192" spans="1:13" x14ac:dyDescent="0.25">
      <c r="A192">
        <v>191</v>
      </c>
      <c r="B192" t="s">
        <v>43</v>
      </c>
      <c r="C192" t="s">
        <v>18</v>
      </c>
      <c r="D192" t="s">
        <v>17</v>
      </c>
      <c r="E192">
        <v>127823</v>
      </c>
      <c r="F192">
        <v>10593685</v>
      </c>
      <c r="G192">
        <v>200986</v>
      </c>
      <c r="H192">
        <v>24005</v>
      </c>
      <c r="I192">
        <v>480</v>
      </c>
      <c r="J192">
        <v>43</v>
      </c>
      <c r="K192">
        <v>93353</v>
      </c>
      <c r="L192" s="1">
        <f>Marketing[[#This Row],[revenue]]/Marketing[[#This Row],[mark_spent]]</f>
        <v>0.46447513757177117</v>
      </c>
      <c r="M192" s="2">
        <f>IF(Marketing[[#This Row],[orders]]=0,"",Marketing[[#This Row],[mark_spent]]/Marketing[[#This Row],[orders]])</f>
        <v>4674.0930232558139</v>
      </c>
    </row>
    <row r="193" spans="1:13" x14ac:dyDescent="0.25">
      <c r="A193">
        <v>192</v>
      </c>
      <c r="B193" t="s">
        <v>43</v>
      </c>
      <c r="C193" t="s">
        <v>19</v>
      </c>
      <c r="D193" t="s">
        <v>1</v>
      </c>
      <c r="E193">
        <v>10934</v>
      </c>
      <c r="F193">
        <v>4064081</v>
      </c>
      <c r="G193">
        <v>865229</v>
      </c>
      <c r="H193">
        <v>45004</v>
      </c>
      <c r="I193">
        <v>144</v>
      </c>
      <c r="J193">
        <v>31</v>
      </c>
      <c r="K193">
        <v>256897</v>
      </c>
      <c r="L193" s="1">
        <f>Marketing[[#This Row],[revenue]]/Marketing[[#This Row],[mark_spent]]</f>
        <v>0.29691214695762624</v>
      </c>
      <c r="M193" s="2">
        <f>IF(Marketing[[#This Row],[orders]]=0,"",Marketing[[#This Row],[mark_spent]]/Marketing[[#This Row],[orders]])</f>
        <v>27910.612903225807</v>
      </c>
    </row>
    <row r="194" spans="1:13" x14ac:dyDescent="0.25">
      <c r="A194">
        <v>193</v>
      </c>
      <c r="B194" t="s">
        <v>43</v>
      </c>
      <c r="C194" t="s">
        <v>20</v>
      </c>
      <c r="D194" t="s">
        <v>14</v>
      </c>
      <c r="E194">
        <v>9034945</v>
      </c>
      <c r="F194">
        <v>11212959</v>
      </c>
      <c r="G194">
        <v>241388</v>
      </c>
      <c r="H194">
        <v>27009</v>
      </c>
      <c r="I194">
        <v>599</v>
      </c>
      <c r="J194">
        <v>72</v>
      </c>
      <c r="K194">
        <v>430632</v>
      </c>
      <c r="L194" s="1">
        <f>Marketing[[#This Row],[revenue]]/Marketing[[#This Row],[mark_spent]]</f>
        <v>1.7839826337680416</v>
      </c>
      <c r="M194" s="2">
        <f>IF(Marketing[[#This Row],[orders]]=0,"",Marketing[[#This Row],[mark_spent]]/Marketing[[#This Row],[orders]])</f>
        <v>3352.6111111111113</v>
      </c>
    </row>
    <row r="195" spans="1:13" x14ac:dyDescent="0.25">
      <c r="A195">
        <v>194</v>
      </c>
      <c r="B195" t="s">
        <v>43</v>
      </c>
      <c r="C195" t="s">
        <v>21</v>
      </c>
      <c r="D195" t="s">
        <v>14</v>
      </c>
      <c r="E195">
        <v>983498</v>
      </c>
      <c r="F195">
        <v>13281923</v>
      </c>
      <c r="G195">
        <v>585964</v>
      </c>
      <c r="H195">
        <v>51000</v>
      </c>
      <c r="I195">
        <v>1020</v>
      </c>
      <c r="J195">
        <v>16</v>
      </c>
      <c r="K195">
        <v>36016</v>
      </c>
      <c r="L195" s="1">
        <f>Marketing[[#This Row],[revenue]]/Marketing[[#This Row],[mark_spent]]</f>
        <v>6.1464526830999858E-2</v>
      </c>
      <c r="M195" s="2">
        <f>IF(Marketing[[#This Row],[orders]]=0,"",Marketing[[#This Row],[mark_spent]]/Marketing[[#This Row],[orders]])</f>
        <v>36622.75</v>
      </c>
    </row>
    <row r="196" spans="1:13" x14ac:dyDescent="0.25">
      <c r="A196">
        <v>195</v>
      </c>
      <c r="B196" t="s">
        <v>43</v>
      </c>
      <c r="C196" t="s">
        <v>22</v>
      </c>
      <c r="D196" t="s">
        <v>14</v>
      </c>
      <c r="E196">
        <v>4387490</v>
      </c>
      <c r="F196">
        <v>97885</v>
      </c>
      <c r="G196">
        <v>171767</v>
      </c>
      <c r="H196">
        <v>2991</v>
      </c>
      <c r="I196">
        <v>28</v>
      </c>
      <c r="J196">
        <v>6</v>
      </c>
      <c r="K196">
        <v>33930</v>
      </c>
      <c r="L196" s="1">
        <f>Marketing[[#This Row],[revenue]]/Marketing[[#This Row],[mark_spent]]</f>
        <v>0.19753503292250549</v>
      </c>
      <c r="M196" s="2">
        <f>IF(Marketing[[#This Row],[orders]]=0,"",Marketing[[#This Row],[mark_spent]]/Marketing[[#This Row],[orders]])</f>
        <v>28627.833333333332</v>
      </c>
    </row>
    <row r="197" spans="1:13" x14ac:dyDescent="0.25">
      <c r="A197">
        <v>196</v>
      </c>
      <c r="B197" t="s">
        <v>43</v>
      </c>
      <c r="C197" t="s">
        <v>23</v>
      </c>
      <c r="D197" t="s">
        <v>14</v>
      </c>
      <c r="E197">
        <v>544756</v>
      </c>
      <c r="F197">
        <v>1181224</v>
      </c>
      <c r="G197">
        <v>171831</v>
      </c>
      <c r="H197">
        <v>11991</v>
      </c>
      <c r="I197">
        <v>128</v>
      </c>
      <c r="J197">
        <v>19</v>
      </c>
      <c r="K197">
        <v>17917</v>
      </c>
      <c r="L197" s="1">
        <f>Marketing[[#This Row],[revenue]]/Marketing[[#This Row],[mark_spent]]</f>
        <v>0.10427105702696254</v>
      </c>
      <c r="M197" s="2">
        <f>IF(Marketing[[#This Row],[orders]]=0,"",Marketing[[#This Row],[mark_spent]]/Marketing[[#This Row],[orders]])</f>
        <v>9043.7368421052633</v>
      </c>
    </row>
    <row r="198" spans="1:13" x14ac:dyDescent="0.25">
      <c r="A198">
        <v>197</v>
      </c>
      <c r="B198" t="s">
        <v>43</v>
      </c>
      <c r="C198" t="s">
        <v>24</v>
      </c>
      <c r="D198" t="s">
        <v>1</v>
      </c>
      <c r="E198">
        <v>374754</v>
      </c>
      <c r="F198">
        <v>2482796</v>
      </c>
      <c r="G198">
        <v>518530</v>
      </c>
      <c r="H198">
        <v>30000</v>
      </c>
      <c r="I198">
        <v>1032</v>
      </c>
      <c r="J198">
        <v>134</v>
      </c>
      <c r="K198">
        <v>796630</v>
      </c>
      <c r="L198" s="1">
        <f>Marketing[[#This Row],[revenue]]/Marketing[[#This Row],[mark_spent]]</f>
        <v>1.5363238385435751</v>
      </c>
      <c r="M198" s="2">
        <f>IF(Marketing[[#This Row],[orders]]=0,"",Marketing[[#This Row],[mark_spent]]/Marketing[[#This Row],[orders]])</f>
        <v>3869.626865671642</v>
      </c>
    </row>
    <row r="199" spans="1:13" x14ac:dyDescent="0.25">
      <c r="A199">
        <v>198</v>
      </c>
      <c r="B199" t="s">
        <v>43</v>
      </c>
      <c r="C199" t="s">
        <v>25</v>
      </c>
      <c r="D199" t="s">
        <v>26</v>
      </c>
      <c r="E199">
        <v>39889</v>
      </c>
      <c r="F199">
        <v>419970000</v>
      </c>
      <c r="G199">
        <v>339735</v>
      </c>
      <c r="H199">
        <v>41997</v>
      </c>
      <c r="I199">
        <v>840</v>
      </c>
      <c r="J199">
        <v>114</v>
      </c>
      <c r="K199">
        <v>516420</v>
      </c>
      <c r="L199" s="1">
        <f>Marketing[[#This Row],[revenue]]/Marketing[[#This Row],[mark_spent]]</f>
        <v>1.5200671111307342</v>
      </c>
      <c r="M199" s="2">
        <f>IF(Marketing[[#This Row],[orders]]=0,"",Marketing[[#This Row],[mark_spent]]/Marketing[[#This Row],[orders]])</f>
        <v>2980.1315789473683</v>
      </c>
    </row>
    <row r="200" spans="1:13" x14ac:dyDescent="0.25">
      <c r="A200">
        <v>199</v>
      </c>
      <c r="B200" t="s">
        <v>44</v>
      </c>
      <c r="C200" t="s">
        <v>13</v>
      </c>
      <c r="D200" t="s">
        <v>14</v>
      </c>
      <c r="E200">
        <v>349043</v>
      </c>
      <c r="F200">
        <v>15345139</v>
      </c>
      <c r="G200">
        <v>532539</v>
      </c>
      <c r="H200">
        <v>26407</v>
      </c>
      <c r="I200">
        <v>71</v>
      </c>
      <c r="J200">
        <v>10</v>
      </c>
      <c r="K200">
        <v>44550</v>
      </c>
      <c r="L200" s="1">
        <f>Marketing[[#This Row],[revenue]]/Marketing[[#This Row],[mark_spent]]</f>
        <v>8.3655844924033732E-2</v>
      </c>
      <c r="M200" s="2">
        <f>IF(Marketing[[#This Row],[orders]]=0,"",Marketing[[#This Row],[mark_spent]]/Marketing[[#This Row],[orders]])</f>
        <v>53253.9</v>
      </c>
    </row>
    <row r="201" spans="1:13" x14ac:dyDescent="0.25">
      <c r="A201">
        <v>200</v>
      </c>
      <c r="B201" t="s">
        <v>44</v>
      </c>
      <c r="C201" t="s">
        <v>15</v>
      </c>
      <c r="D201" t="s">
        <v>14</v>
      </c>
      <c r="E201">
        <v>348934</v>
      </c>
      <c r="F201">
        <v>7260800</v>
      </c>
      <c r="G201">
        <v>415376</v>
      </c>
      <c r="H201">
        <v>36304</v>
      </c>
      <c r="I201">
        <v>726</v>
      </c>
      <c r="J201">
        <v>58</v>
      </c>
      <c r="K201">
        <v>288898</v>
      </c>
      <c r="L201" s="1">
        <f>Marketing[[#This Row],[revenue]]/Marketing[[#This Row],[mark_spent]]</f>
        <v>0.69550961056970073</v>
      </c>
      <c r="M201" s="2">
        <f>IF(Marketing[[#This Row],[orders]]=0,"",Marketing[[#This Row],[mark_spent]]/Marketing[[#This Row],[orders]])</f>
        <v>7161.6551724137935</v>
      </c>
    </row>
    <row r="202" spans="1:13" x14ac:dyDescent="0.25">
      <c r="A202">
        <v>201</v>
      </c>
      <c r="B202" t="s">
        <v>44</v>
      </c>
      <c r="C202" t="s">
        <v>16</v>
      </c>
      <c r="D202" t="s">
        <v>17</v>
      </c>
      <c r="E202">
        <v>89459845</v>
      </c>
      <c r="F202">
        <v>413291</v>
      </c>
      <c r="G202">
        <v>977755</v>
      </c>
      <c r="H202">
        <v>9904</v>
      </c>
      <c r="I202">
        <v>14</v>
      </c>
      <c r="J202">
        <v>2</v>
      </c>
      <c r="K202">
        <v>15962</v>
      </c>
      <c r="L202" s="1">
        <f>Marketing[[#This Row],[revenue]]/Marketing[[#This Row],[mark_spent]]</f>
        <v>1.6325153029133066E-2</v>
      </c>
      <c r="M202" s="2">
        <f>IF(Marketing[[#This Row],[orders]]=0,"",Marketing[[#This Row],[mark_spent]]/Marketing[[#This Row],[orders]])</f>
        <v>488877.5</v>
      </c>
    </row>
    <row r="203" spans="1:13" x14ac:dyDescent="0.25">
      <c r="A203">
        <v>202</v>
      </c>
      <c r="B203" t="s">
        <v>44</v>
      </c>
      <c r="C203" t="s">
        <v>18</v>
      </c>
      <c r="D203" t="s">
        <v>17</v>
      </c>
      <c r="E203">
        <v>127823</v>
      </c>
      <c r="F203">
        <v>8455475</v>
      </c>
      <c r="G203">
        <v>816235</v>
      </c>
      <c r="H203">
        <v>26406</v>
      </c>
      <c r="I203">
        <v>281</v>
      </c>
      <c r="J203">
        <v>20</v>
      </c>
      <c r="K203">
        <v>72300</v>
      </c>
      <c r="L203" s="1">
        <f>Marketing[[#This Row],[revenue]]/Marketing[[#This Row],[mark_spent]]</f>
        <v>8.8577431744534363E-2</v>
      </c>
      <c r="M203" s="2">
        <f>IF(Marketing[[#This Row],[orders]]=0,"",Marketing[[#This Row],[mark_spent]]/Marketing[[#This Row],[orders]])</f>
        <v>40811.75</v>
      </c>
    </row>
    <row r="204" spans="1:13" x14ac:dyDescent="0.25">
      <c r="A204">
        <v>203</v>
      </c>
      <c r="B204" t="s">
        <v>44</v>
      </c>
      <c r="C204" t="s">
        <v>19</v>
      </c>
      <c r="D204" t="s">
        <v>1</v>
      </c>
      <c r="E204">
        <v>10934</v>
      </c>
      <c r="F204">
        <v>3801165</v>
      </c>
      <c r="G204">
        <v>880357</v>
      </c>
      <c r="H204">
        <v>49510</v>
      </c>
      <c r="I204">
        <v>1666</v>
      </c>
      <c r="J204">
        <v>369</v>
      </c>
      <c r="K204">
        <v>2812520</v>
      </c>
      <c r="L204" s="1">
        <f>Marketing[[#This Row],[revenue]]/Marketing[[#This Row],[mark_spent]]</f>
        <v>3.1947494027990917</v>
      </c>
      <c r="M204" s="2">
        <f>IF(Marketing[[#This Row],[orders]]=0,"",Marketing[[#This Row],[mark_spent]]/Marketing[[#This Row],[orders]])</f>
        <v>2385.791327913279</v>
      </c>
    </row>
    <row r="205" spans="1:13" x14ac:dyDescent="0.25">
      <c r="A205">
        <v>204</v>
      </c>
      <c r="B205" t="s">
        <v>44</v>
      </c>
      <c r="C205" t="s">
        <v>20</v>
      </c>
      <c r="D205" t="s">
        <v>14</v>
      </c>
      <c r="E205">
        <v>9034945</v>
      </c>
      <c r="F205">
        <v>6168252</v>
      </c>
      <c r="G205">
        <v>300775</v>
      </c>
      <c r="H205">
        <v>29699</v>
      </c>
      <c r="I205">
        <v>1082</v>
      </c>
      <c r="J205">
        <v>96</v>
      </c>
      <c r="K205">
        <v>574176</v>
      </c>
      <c r="L205" s="1">
        <f>Marketing[[#This Row],[revenue]]/Marketing[[#This Row],[mark_spent]]</f>
        <v>1.9089884465131743</v>
      </c>
      <c r="M205" s="2">
        <f>IF(Marketing[[#This Row],[orders]]=0,"",Marketing[[#This Row],[mark_spent]]/Marketing[[#This Row],[orders]])</f>
        <v>3133.0729166666665</v>
      </c>
    </row>
    <row r="206" spans="1:13" x14ac:dyDescent="0.25">
      <c r="A206">
        <v>205</v>
      </c>
      <c r="B206" t="s">
        <v>44</v>
      </c>
      <c r="C206" t="s">
        <v>21</v>
      </c>
      <c r="D206" t="s">
        <v>14</v>
      </c>
      <c r="E206">
        <v>983498</v>
      </c>
      <c r="F206">
        <v>11222000</v>
      </c>
      <c r="G206">
        <v>990898</v>
      </c>
      <c r="H206">
        <v>56110</v>
      </c>
      <c r="I206">
        <v>185</v>
      </c>
      <c r="J206">
        <v>3</v>
      </c>
      <c r="K206">
        <v>3621</v>
      </c>
      <c r="L206" s="1">
        <f>Marketing[[#This Row],[revenue]]/Marketing[[#This Row],[mark_spent]]</f>
        <v>3.6542610843901188E-3</v>
      </c>
      <c r="M206" s="2">
        <f>IF(Marketing[[#This Row],[orders]]=0,"",Marketing[[#This Row],[mark_spent]]/Marketing[[#This Row],[orders]])</f>
        <v>330299.33333333331</v>
      </c>
    </row>
    <row r="207" spans="1:13" x14ac:dyDescent="0.25">
      <c r="A207">
        <v>206</v>
      </c>
      <c r="B207" t="s">
        <v>44</v>
      </c>
      <c r="C207" t="s">
        <v>22</v>
      </c>
      <c r="D207" t="s">
        <v>14</v>
      </c>
      <c r="E207">
        <v>4387490</v>
      </c>
      <c r="F207">
        <v>115166</v>
      </c>
      <c r="G207">
        <v>317341</v>
      </c>
      <c r="H207">
        <v>3297</v>
      </c>
      <c r="I207">
        <v>7</v>
      </c>
      <c r="J207">
        <v>1</v>
      </c>
      <c r="K207">
        <v>5199</v>
      </c>
      <c r="L207" s="1">
        <f>Marketing[[#This Row],[revenue]]/Marketing[[#This Row],[mark_spent]]</f>
        <v>1.638300755338894E-2</v>
      </c>
      <c r="M207" s="2">
        <f>IF(Marketing[[#This Row],[orders]]=0,"",Marketing[[#This Row],[mark_spent]]/Marketing[[#This Row],[orders]])</f>
        <v>317341</v>
      </c>
    </row>
    <row r="208" spans="1:13" x14ac:dyDescent="0.25">
      <c r="A208">
        <v>207</v>
      </c>
      <c r="B208" t="s">
        <v>44</v>
      </c>
      <c r="C208" t="s">
        <v>23</v>
      </c>
      <c r="D208" t="s">
        <v>14</v>
      </c>
      <c r="E208">
        <v>544756</v>
      </c>
      <c r="F208">
        <v>1320200</v>
      </c>
      <c r="G208">
        <v>440355</v>
      </c>
      <c r="H208">
        <v>13202</v>
      </c>
      <c r="I208">
        <v>264</v>
      </c>
      <c r="J208">
        <v>45</v>
      </c>
      <c r="K208">
        <v>80325</v>
      </c>
      <c r="L208" s="1">
        <f>Marketing[[#This Row],[revenue]]/Marketing[[#This Row],[mark_spent]]</f>
        <v>0.18240964676227134</v>
      </c>
      <c r="M208" s="2">
        <f>IF(Marketing[[#This Row],[orders]]=0,"",Marketing[[#This Row],[mark_spent]]/Marketing[[#This Row],[orders]])</f>
        <v>9785.6666666666661</v>
      </c>
    </row>
    <row r="209" spans="1:13" x14ac:dyDescent="0.25">
      <c r="A209">
        <v>208</v>
      </c>
      <c r="B209" t="s">
        <v>44</v>
      </c>
      <c r="C209" t="s">
        <v>24</v>
      </c>
      <c r="D209" t="s">
        <v>1</v>
      </c>
      <c r="E209">
        <v>374754</v>
      </c>
      <c r="F209">
        <v>3299900</v>
      </c>
      <c r="G209">
        <v>404285</v>
      </c>
      <c r="H209">
        <v>32999</v>
      </c>
      <c r="I209">
        <v>694</v>
      </c>
      <c r="J209">
        <v>104</v>
      </c>
      <c r="K209">
        <v>519272</v>
      </c>
      <c r="L209" s="1">
        <f>Marketing[[#This Row],[revenue]]/Marketing[[#This Row],[mark_spent]]</f>
        <v>1.2844206438527277</v>
      </c>
      <c r="M209" s="2">
        <f>IF(Marketing[[#This Row],[orders]]=0,"",Marketing[[#This Row],[mark_spent]]/Marketing[[#This Row],[orders]])</f>
        <v>3887.3557692307691</v>
      </c>
    </row>
    <row r="210" spans="1:13" x14ac:dyDescent="0.25">
      <c r="A210">
        <v>209</v>
      </c>
      <c r="B210" t="s">
        <v>44</v>
      </c>
      <c r="C210" t="s">
        <v>25</v>
      </c>
      <c r="D210" t="s">
        <v>26</v>
      </c>
      <c r="E210">
        <v>39889</v>
      </c>
      <c r="F210">
        <v>19065489</v>
      </c>
      <c r="G210">
        <v>492126</v>
      </c>
      <c r="H210">
        <v>46209</v>
      </c>
      <c r="I210">
        <v>924</v>
      </c>
      <c r="J210">
        <v>139</v>
      </c>
      <c r="K210">
        <v>556417</v>
      </c>
      <c r="L210" s="1">
        <f>Marketing[[#This Row],[revenue]]/Marketing[[#This Row],[mark_spent]]</f>
        <v>1.1306393078195422</v>
      </c>
      <c r="M210" s="2">
        <f>IF(Marketing[[#This Row],[orders]]=0,"",Marketing[[#This Row],[mark_spent]]/Marketing[[#This Row],[orders]])</f>
        <v>3540.4748201438847</v>
      </c>
    </row>
    <row r="211" spans="1:13" x14ac:dyDescent="0.25">
      <c r="A211">
        <v>210</v>
      </c>
      <c r="B211" t="s">
        <v>45</v>
      </c>
      <c r="C211" t="s">
        <v>13</v>
      </c>
      <c r="D211" t="s">
        <v>14</v>
      </c>
      <c r="E211">
        <v>349043</v>
      </c>
      <c r="F211">
        <v>9916906</v>
      </c>
      <c r="G211">
        <v>568742</v>
      </c>
      <c r="H211">
        <v>28796</v>
      </c>
      <c r="I211">
        <v>88</v>
      </c>
      <c r="J211">
        <v>12</v>
      </c>
      <c r="K211">
        <v>59772</v>
      </c>
      <c r="L211" s="1">
        <f>Marketing[[#This Row],[revenue]]/Marketing[[#This Row],[mark_spent]]</f>
        <v>0.10509510463443882</v>
      </c>
      <c r="M211" s="2">
        <f>IF(Marketing[[#This Row],[orders]]=0,"",Marketing[[#This Row],[mark_spent]]/Marketing[[#This Row],[orders]])</f>
        <v>47395.166666666664</v>
      </c>
    </row>
    <row r="212" spans="1:13" x14ac:dyDescent="0.25">
      <c r="A212">
        <v>211</v>
      </c>
      <c r="B212" t="s">
        <v>45</v>
      </c>
      <c r="C212" t="s">
        <v>15</v>
      </c>
      <c r="D212" t="s">
        <v>14</v>
      </c>
      <c r="E212">
        <v>348934</v>
      </c>
      <c r="F212">
        <v>7918600</v>
      </c>
      <c r="G212">
        <v>455831</v>
      </c>
      <c r="H212">
        <v>39593</v>
      </c>
      <c r="I212">
        <v>853</v>
      </c>
      <c r="J212">
        <v>68</v>
      </c>
      <c r="K212">
        <v>387124</v>
      </c>
      <c r="L212" s="1">
        <f>Marketing[[#This Row],[revenue]]/Marketing[[#This Row],[mark_spent]]</f>
        <v>0.84927089206306727</v>
      </c>
      <c r="M212" s="2">
        <f>IF(Marketing[[#This Row],[orders]]=0,"",Marketing[[#This Row],[mark_spent]]/Marketing[[#This Row],[orders]])</f>
        <v>6703.3970588235297</v>
      </c>
    </row>
    <row r="213" spans="1:13" x14ac:dyDescent="0.25">
      <c r="A213">
        <v>212</v>
      </c>
      <c r="B213" t="s">
        <v>45</v>
      </c>
      <c r="C213" t="s">
        <v>16</v>
      </c>
      <c r="D213" t="s">
        <v>17</v>
      </c>
      <c r="E213">
        <v>89459845</v>
      </c>
      <c r="F213">
        <v>540450</v>
      </c>
      <c r="G213">
        <v>190469</v>
      </c>
      <c r="H213">
        <v>10809</v>
      </c>
      <c r="I213">
        <v>359</v>
      </c>
      <c r="J213">
        <v>47</v>
      </c>
      <c r="K213">
        <v>365378</v>
      </c>
      <c r="L213" s="1">
        <f>Marketing[[#This Row],[revenue]]/Marketing[[#This Row],[mark_spent]]</f>
        <v>1.9183069160860822</v>
      </c>
      <c r="M213" s="2">
        <f>IF(Marketing[[#This Row],[orders]]=0,"",Marketing[[#This Row],[mark_spent]]/Marketing[[#This Row],[orders]])</f>
        <v>4052.5319148936169</v>
      </c>
    </row>
    <row r="214" spans="1:13" x14ac:dyDescent="0.25">
      <c r="A214">
        <v>213</v>
      </c>
      <c r="B214" t="s">
        <v>45</v>
      </c>
      <c r="C214" t="s">
        <v>18</v>
      </c>
      <c r="D214" t="s">
        <v>17</v>
      </c>
      <c r="E214">
        <v>127823</v>
      </c>
      <c r="F214">
        <v>5762000</v>
      </c>
      <c r="G214">
        <v>435770</v>
      </c>
      <c r="H214">
        <v>28810</v>
      </c>
      <c r="I214">
        <v>732</v>
      </c>
      <c r="J214">
        <v>96</v>
      </c>
      <c r="K214">
        <v>253440</v>
      </c>
      <c r="L214" s="1">
        <f>Marketing[[#This Row],[revenue]]/Marketing[[#This Row],[mark_spent]]</f>
        <v>0.58159120637033301</v>
      </c>
      <c r="M214" s="2">
        <f>IF(Marketing[[#This Row],[orders]]=0,"",Marketing[[#This Row],[mark_spent]]/Marketing[[#This Row],[orders]])</f>
        <v>4539.270833333333</v>
      </c>
    </row>
    <row r="215" spans="1:13" x14ac:dyDescent="0.25">
      <c r="A215">
        <v>214</v>
      </c>
      <c r="B215" t="s">
        <v>45</v>
      </c>
      <c r="C215" t="s">
        <v>19</v>
      </c>
      <c r="D215" t="s">
        <v>1</v>
      </c>
      <c r="E215">
        <v>10934</v>
      </c>
      <c r="F215">
        <v>5399300</v>
      </c>
      <c r="G215">
        <v>303860</v>
      </c>
      <c r="H215">
        <v>53993</v>
      </c>
      <c r="I215">
        <v>1094</v>
      </c>
      <c r="J215">
        <v>182</v>
      </c>
      <c r="K215">
        <v>1452540</v>
      </c>
      <c r="L215" s="1">
        <f>Marketing[[#This Row],[revenue]]/Marketing[[#This Row],[mark_spent]]</f>
        <v>4.7802935562430067</v>
      </c>
      <c r="M215" s="2">
        <f>IF(Marketing[[#This Row],[orders]]=0,"",Marketing[[#This Row],[mark_spent]]/Marketing[[#This Row],[orders]])</f>
        <v>1669.5604395604396</v>
      </c>
    </row>
    <row r="216" spans="1:13" x14ac:dyDescent="0.25">
      <c r="A216">
        <v>215</v>
      </c>
      <c r="B216" t="s">
        <v>45</v>
      </c>
      <c r="C216" t="s">
        <v>20</v>
      </c>
      <c r="D216" t="s">
        <v>14</v>
      </c>
      <c r="E216">
        <v>9034945</v>
      </c>
      <c r="F216">
        <v>7669421</v>
      </c>
      <c r="G216">
        <v>404737</v>
      </c>
      <c r="H216">
        <v>32395</v>
      </c>
      <c r="I216">
        <v>1003</v>
      </c>
      <c r="J216">
        <v>139</v>
      </c>
      <c r="K216">
        <v>847066</v>
      </c>
      <c r="L216" s="1">
        <f>Marketing[[#This Row],[revenue]]/Marketing[[#This Row],[mark_spent]]</f>
        <v>2.0928800677971129</v>
      </c>
      <c r="M216" s="2">
        <f>IF(Marketing[[#This Row],[orders]]=0,"",Marketing[[#This Row],[mark_spent]]/Marketing[[#This Row],[orders]])</f>
        <v>2911.776978417266</v>
      </c>
    </row>
    <row r="217" spans="1:13" x14ac:dyDescent="0.25">
      <c r="A217">
        <v>216</v>
      </c>
      <c r="B217" t="s">
        <v>45</v>
      </c>
      <c r="C217" t="s">
        <v>21</v>
      </c>
      <c r="D217" t="s">
        <v>14</v>
      </c>
      <c r="E217">
        <v>983498</v>
      </c>
      <c r="F217">
        <v>12239000</v>
      </c>
      <c r="G217">
        <v>150065</v>
      </c>
      <c r="H217">
        <v>61195</v>
      </c>
      <c r="I217">
        <v>1224</v>
      </c>
      <c r="J217">
        <v>48</v>
      </c>
      <c r="K217">
        <v>73392</v>
      </c>
      <c r="L217" s="1">
        <f>Marketing[[#This Row],[revenue]]/Marketing[[#This Row],[mark_spent]]</f>
        <v>0.48906807050278212</v>
      </c>
      <c r="M217" s="2">
        <f>IF(Marketing[[#This Row],[orders]]=0,"",Marketing[[#This Row],[mark_spent]]/Marketing[[#This Row],[orders]])</f>
        <v>3126.3541666666665</v>
      </c>
    </row>
    <row r="218" spans="1:13" x14ac:dyDescent="0.25">
      <c r="A218">
        <v>217</v>
      </c>
      <c r="B218" t="s">
        <v>45</v>
      </c>
      <c r="C218" t="s">
        <v>22</v>
      </c>
      <c r="D218" t="s">
        <v>14</v>
      </c>
      <c r="E218">
        <v>4387490</v>
      </c>
      <c r="F218">
        <v>111784</v>
      </c>
      <c r="G218">
        <v>735875</v>
      </c>
      <c r="H218">
        <v>3594</v>
      </c>
      <c r="I218">
        <v>116</v>
      </c>
      <c r="J218">
        <v>24</v>
      </c>
      <c r="K218">
        <v>119544</v>
      </c>
      <c r="L218" s="1">
        <f>Marketing[[#This Row],[revenue]]/Marketing[[#This Row],[mark_spent]]</f>
        <v>0.16245150331238323</v>
      </c>
      <c r="M218" s="2">
        <f>IF(Marketing[[#This Row],[orders]]=0,"",Marketing[[#This Row],[mark_spent]]/Marketing[[#This Row],[orders]])</f>
        <v>30661.458333333332</v>
      </c>
    </row>
    <row r="219" spans="1:13" x14ac:dyDescent="0.25">
      <c r="A219">
        <v>218</v>
      </c>
      <c r="B219" t="s">
        <v>45</v>
      </c>
      <c r="C219" t="s">
        <v>23</v>
      </c>
      <c r="D219" t="s">
        <v>14</v>
      </c>
      <c r="E219">
        <v>544756</v>
      </c>
      <c r="F219">
        <v>1118531</v>
      </c>
      <c r="G219">
        <v>173041</v>
      </c>
      <c r="H219">
        <v>14399</v>
      </c>
      <c r="I219">
        <v>113</v>
      </c>
      <c r="J219">
        <v>18</v>
      </c>
      <c r="K219">
        <v>17658</v>
      </c>
      <c r="L219" s="1">
        <f>Marketing[[#This Row],[revenue]]/Marketing[[#This Row],[mark_spent]]</f>
        <v>0.1020451800440358</v>
      </c>
      <c r="M219" s="2">
        <f>IF(Marketing[[#This Row],[orders]]=0,"",Marketing[[#This Row],[mark_spent]]/Marketing[[#This Row],[orders]])</f>
        <v>9613.3888888888887</v>
      </c>
    </row>
    <row r="220" spans="1:13" x14ac:dyDescent="0.25">
      <c r="A220">
        <v>219</v>
      </c>
      <c r="B220" t="s">
        <v>45</v>
      </c>
      <c r="C220" t="s">
        <v>24</v>
      </c>
      <c r="D220" t="s">
        <v>1</v>
      </c>
      <c r="E220">
        <v>374754</v>
      </c>
      <c r="F220">
        <v>5497354</v>
      </c>
      <c r="G220">
        <v>504576</v>
      </c>
      <c r="H220">
        <v>35994</v>
      </c>
      <c r="I220">
        <v>822</v>
      </c>
      <c r="J220">
        <v>137</v>
      </c>
      <c r="K220">
        <v>682397</v>
      </c>
      <c r="L220" s="1">
        <f>Marketing[[#This Row],[revenue]]/Marketing[[#This Row],[mark_spent]]</f>
        <v>1.3524166825215627</v>
      </c>
      <c r="M220" s="2">
        <f>IF(Marketing[[#This Row],[orders]]=0,"",Marketing[[#This Row],[mark_spent]]/Marketing[[#This Row],[orders]])</f>
        <v>3683.0364963503648</v>
      </c>
    </row>
    <row r="221" spans="1:13" x14ac:dyDescent="0.25">
      <c r="A221">
        <v>220</v>
      </c>
      <c r="B221" t="s">
        <v>45</v>
      </c>
      <c r="C221" t="s">
        <v>25</v>
      </c>
      <c r="D221" t="s">
        <v>26</v>
      </c>
      <c r="E221">
        <v>39889</v>
      </c>
      <c r="F221">
        <v>26012342</v>
      </c>
      <c r="G221">
        <v>750361</v>
      </c>
      <c r="H221">
        <v>50408</v>
      </c>
      <c r="I221">
        <v>1678</v>
      </c>
      <c r="J221">
        <v>252</v>
      </c>
      <c r="K221">
        <v>1003210</v>
      </c>
      <c r="L221" s="1">
        <f>Marketing[[#This Row],[revenue]]/Marketing[[#This Row],[mark_spent]]</f>
        <v>1.3369698052004302</v>
      </c>
      <c r="M221" s="2">
        <f>IF(Marketing[[#This Row],[orders]]=0,"",Marketing[[#This Row],[mark_spent]]/Marketing[[#This Row],[orders]])</f>
        <v>2977.6230158730159</v>
      </c>
    </row>
    <row r="222" spans="1:13" x14ac:dyDescent="0.25">
      <c r="A222">
        <v>221</v>
      </c>
      <c r="B222" t="s">
        <v>46</v>
      </c>
      <c r="C222" t="s">
        <v>13</v>
      </c>
      <c r="D222" t="s">
        <v>14</v>
      </c>
      <c r="E222">
        <v>349043</v>
      </c>
      <c r="F222">
        <v>478600</v>
      </c>
      <c r="G222">
        <v>385967</v>
      </c>
      <c r="H222">
        <v>2393</v>
      </c>
      <c r="I222">
        <v>66</v>
      </c>
      <c r="J222">
        <v>7</v>
      </c>
      <c r="K222">
        <v>31094</v>
      </c>
      <c r="L222" s="1">
        <f>Marketing[[#This Row],[revenue]]/Marketing[[#This Row],[mark_spent]]</f>
        <v>8.0561291509377742E-2</v>
      </c>
      <c r="M222" s="2">
        <f>IF(Marketing[[#This Row],[orders]]=0,"",Marketing[[#This Row],[mark_spent]]/Marketing[[#This Row],[orders]])</f>
        <v>55138.142857142855</v>
      </c>
    </row>
    <row r="223" spans="1:13" x14ac:dyDescent="0.25">
      <c r="A223">
        <v>222</v>
      </c>
      <c r="B223" t="s">
        <v>46</v>
      </c>
      <c r="C223" t="s">
        <v>15</v>
      </c>
      <c r="D223" t="s">
        <v>14</v>
      </c>
      <c r="E223">
        <v>348934</v>
      </c>
      <c r="F223">
        <v>543787</v>
      </c>
      <c r="G223">
        <v>39481</v>
      </c>
      <c r="H223">
        <v>3299</v>
      </c>
      <c r="I223">
        <v>113</v>
      </c>
      <c r="J223">
        <v>6</v>
      </c>
      <c r="K223">
        <v>29538</v>
      </c>
      <c r="L223" s="1">
        <f>Marketing[[#This Row],[revenue]]/Marketing[[#This Row],[mark_spent]]</f>
        <v>0.74815734150604085</v>
      </c>
      <c r="M223" s="2">
        <f>IF(Marketing[[#This Row],[orders]]=0,"",Marketing[[#This Row],[mark_spent]]/Marketing[[#This Row],[orders]])</f>
        <v>6580.166666666667</v>
      </c>
    </row>
    <row r="224" spans="1:13" x14ac:dyDescent="0.25">
      <c r="A224">
        <v>223</v>
      </c>
      <c r="B224" t="s">
        <v>46</v>
      </c>
      <c r="C224" t="s">
        <v>16</v>
      </c>
      <c r="D224" t="s">
        <v>17</v>
      </c>
      <c r="E224">
        <v>89459845</v>
      </c>
      <c r="F224">
        <v>49655</v>
      </c>
      <c r="G224">
        <v>944412</v>
      </c>
      <c r="H224">
        <v>907</v>
      </c>
      <c r="I224">
        <v>18</v>
      </c>
      <c r="J224">
        <v>2</v>
      </c>
      <c r="K224">
        <v>15962</v>
      </c>
      <c r="L224" s="1">
        <f>Marketing[[#This Row],[revenue]]/Marketing[[#This Row],[mark_spent]]</f>
        <v>1.6901521793454551E-2</v>
      </c>
      <c r="M224" s="2">
        <f>IF(Marketing[[#This Row],[orders]]=0,"",Marketing[[#This Row],[mark_spent]]/Marketing[[#This Row],[orders]])</f>
        <v>472206</v>
      </c>
    </row>
    <row r="225" spans="1:13" x14ac:dyDescent="0.25">
      <c r="A225">
        <v>224</v>
      </c>
      <c r="B225" t="s">
        <v>46</v>
      </c>
      <c r="C225" t="s">
        <v>18</v>
      </c>
      <c r="D225" t="s">
        <v>17</v>
      </c>
      <c r="E225">
        <v>127823</v>
      </c>
      <c r="F225">
        <v>478400</v>
      </c>
      <c r="G225">
        <v>174762</v>
      </c>
      <c r="H225">
        <v>2392</v>
      </c>
      <c r="I225">
        <v>48</v>
      </c>
      <c r="J225">
        <v>5</v>
      </c>
      <c r="K225">
        <v>12910</v>
      </c>
      <c r="L225" s="1">
        <f>Marketing[[#This Row],[revenue]]/Marketing[[#This Row],[mark_spent]]</f>
        <v>7.3871894347741496E-2</v>
      </c>
      <c r="M225" s="2">
        <f>IF(Marketing[[#This Row],[orders]]=0,"",Marketing[[#This Row],[mark_spent]]/Marketing[[#This Row],[orders]])</f>
        <v>34952.400000000001</v>
      </c>
    </row>
    <row r="226" spans="1:13" x14ac:dyDescent="0.25">
      <c r="A226">
        <v>225</v>
      </c>
      <c r="B226" t="s">
        <v>46</v>
      </c>
      <c r="C226" t="s">
        <v>19</v>
      </c>
      <c r="D226" t="s">
        <v>1</v>
      </c>
      <c r="E226">
        <v>10934</v>
      </c>
      <c r="F226">
        <v>713896</v>
      </c>
      <c r="G226">
        <v>30801</v>
      </c>
      <c r="H226">
        <v>4507</v>
      </c>
      <c r="I226">
        <v>90</v>
      </c>
      <c r="J226">
        <v>20</v>
      </c>
      <c r="K226">
        <v>159620</v>
      </c>
      <c r="L226" s="1">
        <f>Marketing[[#This Row],[revenue]]/Marketing[[#This Row],[mark_spent]]</f>
        <v>5.1822992759975328</v>
      </c>
      <c r="M226" s="2">
        <f>IF(Marketing[[#This Row],[orders]]=0,"",Marketing[[#This Row],[mark_spent]]/Marketing[[#This Row],[orders]])</f>
        <v>1540.05</v>
      </c>
    </row>
    <row r="227" spans="1:13" x14ac:dyDescent="0.25">
      <c r="A227">
        <v>226</v>
      </c>
      <c r="B227" t="s">
        <v>46</v>
      </c>
      <c r="C227" t="s">
        <v>20</v>
      </c>
      <c r="D227" t="s">
        <v>14</v>
      </c>
      <c r="E227">
        <v>9034945</v>
      </c>
      <c r="F227">
        <v>555915</v>
      </c>
      <c r="G227">
        <v>294575</v>
      </c>
      <c r="H227">
        <v>2709</v>
      </c>
      <c r="I227">
        <v>60</v>
      </c>
      <c r="J227">
        <v>10</v>
      </c>
      <c r="K227">
        <v>55540</v>
      </c>
      <c r="L227" s="1">
        <f>Marketing[[#This Row],[revenue]]/Marketing[[#This Row],[mark_spent]]</f>
        <v>0.18854281592124247</v>
      </c>
      <c r="M227" s="2">
        <f>IF(Marketing[[#This Row],[orders]]=0,"",Marketing[[#This Row],[mark_spent]]/Marketing[[#This Row],[orders]])</f>
        <v>29457.5</v>
      </c>
    </row>
    <row r="228" spans="1:13" x14ac:dyDescent="0.25">
      <c r="A228">
        <v>227</v>
      </c>
      <c r="B228" t="s">
        <v>46</v>
      </c>
      <c r="C228" t="s">
        <v>21</v>
      </c>
      <c r="D228" t="s">
        <v>14</v>
      </c>
      <c r="E228">
        <v>983498</v>
      </c>
      <c r="F228">
        <v>781353</v>
      </c>
      <c r="G228">
        <v>125035</v>
      </c>
      <c r="H228">
        <v>5104</v>
      </c>
      <c r="I228">
        <v>102</v>
      </c>
      <c r="J228">
        <v>4</v>
      </c>
      <c r="K228">
        <v>7924</v>
      </c>
      <c r="L228" s="1">
        <f>Marketing[[#This Row],[revenue]]/Marketing[[#This Row],[mark_spent]]</f>
        <v>6.3374255208541605E-2</v>
      </c>
      <c r="M228" s="2">
        <f>IF(Marketing[[#This Row],[orders]]=0,"",Marketing[[#This Row],[mark_spent]]/Marketing[[#This Row],[orders]])</f>
        <v>31258.75</v>
      </c>
    </row>
    <row r="229" spans="1:13" x14ac:dyDescent="0.25">
      <c r="A229">
        <v>228</v>
      </c>
      <c r="B229" t="s">
        <v>46</v>
      </c>
      <c r="C229" t="s">
        <v>22</v>
      </c>
      <c r="D229" t="s">
        <v>14</v>
      </c>
      <c r="E229">
        <v>4387490</v>
      </c>
      <c r="F229">
        <v>10812</v>
      </c>
      <c r="G229">
        <v>155596</v>
      </c>
      <c r="H229">
        <v>296</v>
      </c>
      <c r="I229">
        <v>3</v>
      </c>
      <c r="J229">
        <v>1</v>
      </c>
      <c r="K229">
        <v>3993</v>
      </c>
      <c r="L229" s="1">
        <f>Marketing[[#This Row],[revenue]]/Marketing[[#This Row],[mark_spent]]</f>
        <v>2.5662613434792668E-2</v>
      </c>
      <c r="M229" s="2">
        <f>IF(Marketing[[#This Row],[orders]]=0,"",Marketing[[#This Row],[mark_spent]]/Marketing[[#This Row],[orders]])</f>
        <v>155596</v>
      </c>
    </row>
    <row r="230" spans="1:13" x14ac:dyDescent="0.25">
      <c r="A230">
        <v>229</v>
      </c>
      <c r="B230" t="s">
        <v>46</v>
      </c>
      <c r="C230" t="s">
        <v>23</v>
      </c>
      <c r="D230" t="s">
        <v>14</v>
      </c>
      <c r="E230">
        <v>544756</v>
      </c>
      <c r="F230">
        <v>119400</v>
      </c>
      <c r="G230">
        <v>321699</v>
      </c>
      <c r="H230">
        <v>1194</v>
      </c>
      <c r="I230">
        <v>24</v>
      </c>
      <c r="J230">
        <v>4</v>
      </c>
      <c r="K230">
        <v>3924</v>
      </c>
      <c r="L230" s="1">
        <f>Marketing[[#This Row],[revenue]]/Marketing[[#This Row],[mark_spent]]</f>
        <v>1.219773763673496E-2</v>
      </c>
      <c r="M230" s="2">
        <f>IF(Marketing[[#This Row],[orders]]=0,"",Marketing[[#This Row],[mark_spent]]/Marketing[[#This Row],[orders]])</f>
        <v>80424.75</v>
      </c>
    </row>
    <row r="231" spans="1:13" x14ac:dyDescent="0.25">
      <c r="A231">
        <v>230</v>
      </c>
      <c r="B231" t="s">
        <v>46</v>
      </c>
      <c r="C231" t="s">
        <v>24</v>
      </c>
      <c r="D231" t="s">
        <v>1</v>
      </c>
      <c r="E231">
        <v>374754</v>
      </c>
      <c r="F231">
        <v>300900</v>
      </c>
      <c r="G231">
        <v>650063</v>
      </c>
      <c r="H231">
        <v>3009</v>
      </c>
      <c r="I231">
        <v>89</v>
      </c>
      <c r="J231">
        <v>17</v>
      </c>
      <c r="K231">
        <v>84677</v>
      </c>
      <c r="L231" s="1">
        <f>Marketing[[#This Row],[revenue]]/Marketing[[#This Row],[mark_spent]]</f>
        <v>0.13025968252307854</v>
      </c>
      <c r="M231" s="2">
        <f>IF(Marketing[[#This Row],[orders]]=0,"",Marketing[[#This Row],[mark_spent]]/Marketing[[#This Row],[orders]])</f>
        <v>38239</v>
      </c>
    </row>
    <row r="232" spans="1:13" x14ac:dyDescent="0.25">
      <c r="A232">
        <v>231</v>
      </c>
      <c r="B232" t="s">
        <v>46</v>
      </c>
      <c r="C232" t="s">
        <v>25</v>
      </c>
      <c r="D232" t="s">
        <v>26</v>
      </c>
      <c r="E232">
        <v>39889</v>
      </c>
      <c r="F232">
        <v>42080000</v>
      </c>
      <c r="G232">
        <v>250232</v>
      </c>
      <c r="H232">
        <v>4208</v>
      </c>
      <c r="I232">
        <v>67</v>
      </c>
      <c r="J232">
        <v>10</v>
      </c>
      <c r="K232">
        <v>31710</v>
      </c>
      <c r="L232" s="1">
        <f>Marketing[[#This Row],[revenue]]/Marketing[[#This Row],[mark_spent]]</f>
        <v>0.12672240161130471</v>
      </c>
      <c r="M232" s="2">
        <f>IF(Marketing[[#This Row],[orders]]=0,"",Marketing[[#This Row],[mark_spent]]/Marketing[[#This Row],[orders]])</f>
        <v>25023.200000000001</v>
      </c>
    </row>
    <row r="233" spans="1:13" x14ac:dyDescent="0.25">
      <c r="A233">
        <v>232</v>
      </c>
      <c r="B233" t="s">
        <v>47</v>
      </c>
      <c r="C233" t="s">
        <v>13</v>
      </c>
      <c r="D233" t="s">
        <v>14</v>
      </c>
      <c r="E233">
        <v>349043</v>
      </c>
      <c r="F233">
        <v>605386</v>
      </c>
      <c r="G233">
        <v>59710</v>
      </c>
      <c r="H233">
        <v>4802</v>
      </c>
      <c r="I233">
        <v>96</v>
      </c>
      <c r="J233">
        <v>12</v>
      </c>
      <c r="K233">
        <v>67632</v>
      </c>
      <c r="L233" s="1">
        <f>Marketing[[#This Row],[revenue]]/Marketing[[#This Row],[mark_spent]]</f>
        <v>1.1326745938703735</v>
      </c>
      <c r="M233" s="2">
        <f>IF(Marketing[[#This Row],[orders]]=0,"",Marketing[[#This Row],[mark_spent]]/Marketing[[#This Row],[orders]])</f>
        <v>4975.833333333333</v>
      </c>
    </row>
    <row r="234" spans="1:13" x14ac:dyDescent="0.25">
      <c r="A234">
        <v>233</v>
      </c>
      <c r="B234" t="s">
        <v>47</v>
      </c>
      <c r="C234" t="s">
        <v>15</v>
      </c>
      <c r="D234" t="s">
        <v>14</v>
      </c>
      <c r="E234">
        <v>348934</v>
      </c>
      <c r="F234">
        <v>2090371</v>
      </c>
      <c r="G234">
        <v>955362</v>
      </c>
      <c r="H234">
        <v>6606</v>
      </c>
      <c r="I234">
        <v>132</v>
      </c>
      <c r="J234">
        <v>14</v>
      </c>
      <c r="K234">
        <v>69734</v>
      </c>
      <c r="L234" s="1">
        <f>Marketing[[#This Row],[revenue]]/Marketing[[#This Row],[mark_spent]]</f>
        <v>7.2992227030172857E-2</v>
      </c>
      <c r="M234" s="2">
        <f>IF(Marketing[[#This Row],[orders]]=0,"",Marketing[[#This Row],[mark_spent]]/Marketing[[#This Row],[orders]])</f>
        <v>68240.142857142855</v>
      </c>
    </row>
    <row r="235" spans="1:13" x14ac:dyDescent="0.25">
      <c r="A235">
        <v>234</v>
      </c>
      <c r="B235" t="s">
        <v>47</v>
      </c>
      <c r="C235" t="s">
        <v>16</v>
      </c>
      <c r="D235" t="s">
        <v>17</v>
      </c>
      <c r="E235">
        <v>89459845</v>
      </c>
      <c r="F235">
        <v>90500</v>
      </c>
      <c r="G235">
        <v>306454</v>
      </c>
      <c r="H235">
        <v>1810</v>
      </c>
      <c r="I235">
        <v>65</v>
      </c>
      <c r="J235">
        <v>7</v>
      </c>
      <c r="K235">
        <v>59045</v>
      </c>
      <c r="L235" s="1">
        <f>Marketing[[#This Row],[revenue]]/Marketing[[#This Row],[mark_spent]]</f>
        <v>0.1926716570839343</v>
      </c>
      <c r="M235" s="2">
        <f>IF(Marketing[[#This Row],[orders]]=0,"",Marketing[[#This Row],[mark_spent]]/Marketing[[#This Row],[orders]])</f>
        <v>43779.142857142855</v>
      </c>
    </row>
    <row r="236" spans="1:13" x14ac:dyDescent="0.25">
      <c r="A236">
        <v>235</v>
      </c>
      <c r="B236" t="s">
        <v>47</v>
      </c>
      <c r="C236" t="s">
        <v>18</v>
      </c>
      <c r="D236" t="s">
        <v>17</v>
      </c>
      <c r="E236">
        <v>127823</v>
      </c>
      <c r="F236">
        <v>959600</v>
      </c>
      <c r="G236">
        <v>123483</v>
      </c>
      <c r="H236">
        <v>4798</v>
      </c>
      <c r="I236">
        <v>39</v>
      </c>
      <c r="J236">
        <v>4</v>
      </c>
      <c r="K236">
        <v>11924</v>
      </c>
      <c r="L236" s="1">
        <f>Marketing[[#This Row],[revenue]]/Marketing[[#This Row],[mark_spent]]</f>
        <v>9.6563899484139515E-2</v>
      </c>
      <c r="M236" s="2">
        <f>IF(Marketing[[#This Row],[orders]]=0,"",Marketing[[#This Row],[mark_spent]]/Marketing[[#This Row],[orders]])</f>
        <v>30870.75</v>
      </c>
    </row>
    <row r="237" spans="1:13" x14ac:dyDescent="0.25">
      <c r="A237">
        <v>236</v>
      </c>
      <c r="B237" t="s">
        <v>47</v>
      </c>
      <c r="C237" t="s">
        <v>19</v>
      </c>
      <c r="D237" t="s">
        <v>1</v>
      </c>
      <c r="E237">
        <v>10934</v>
      </c>
      <c r="F237">
        <v>757387</v>
      </c>
      <c r="G237">
        <v>778038</v>
      </c>
      <c r="H237">
        <v>8997</v>
      </c>
      <c r="I237">
        <v>180</v>
      </c>
      <c r="J237">
        <v>42</v>
      </c>
      <c r="K237">
        <v>359394</v>
      </c>
      <c r="L237" s="1">
        <f>Marketing[[#This Row],[revenue]]/Marketing[[#This Row],[mark_spent]]</f>
        <v>0.46192345361023496</v>
      </c>
      <c r="M237" s="2">
        <f>IF(Marketing[[#This Row],[orders]]=0,"",Marketing[[#This Row],[mark_spent]]/Marketing[[#This Row],[orders]])</f>
        <v>18524.714285714286</v>
      </c>
    </row>
    <row r="238" spans="1:13" x14ac:dyDescent="0.25">
      <c r="A238">
        <v>237</v>
      </c>
      <c r="B238" t="s">
        <v>47</v>
      </c>
      <c r="C238" t="s">
        <v>20</v>
      </c>
      <c r="D238" t="s">
        <v>14</v>
      </c>
      <c r="E238">
        <v>9034945</v>
      </c>
      <c r="F238">
        <v>4565811</v>
      </c>
      <c r="G238">
        <v>334747</v>
      </c>
      <c r="H238">
        <v>5397</v>
      </c>
      <c r="I238">
        <v>108</v>
      </c>
      <c r="J238">
        <v>9</v>
      </c>
      <c r="K238">
        <v>53829</v>
      </c>
      <c r="L238" s="1">
        <f>Marketing[[#This Row],[revenue]]/Marketing[[#This Row],[mark_spent]]</f>
        <v>0.16080502588522078</v>
      </c>
      <c r="M238" s="2">
        <f>IF(Marketing[[#This Row],[orders]]=0,"",Marketing[[#This Row],[mark_spent]]/Marketing[[#This Row],[orders]])</f>
        <v>37194.111111111109</v>
      </c>
    </row>
    <row r="239" spans="1:13" x14ac:dyDescent="0.25">
      <c r="A239">
        <v>238</v>
      </c>
      <c r="B239" t="s">
        <v>47</v>
      </c>
      <c r="C239" t="s">
        <v>21</v>
      </c>
      <c r="D239" t="s">
        <v>14</v>
      </c>
      <c r="E239">
        <v>983498</v>
      </c>
      <c r="F239">
        <v>2190892</v>
      </c>
      <c r="G239">
        <v>191966</v>
      </c>
      <c r="H239">
        <v>10202</v>
      </c>
      <c r="I239">
        <v>124</v>
      </c>
      <c r="J239">
        <v>7</v>
      </c>
      <c r="K239">
        <v>14602</v>
      </c>
      <c r="L239" s="1">
        <f>Marketing[[#This Row],[revenue]]/Marketing[[#This Row],[mark_spent]]</f>
        <v>7.6065553275059122E-2</v>
      </c>
      <c r="M239" s="2">
        <f>IF(Marketing[[#This Row],[orders]]=0,"",Marketing[[#This Row],[mark_spent]]/Marketing[[#This Row],[orders]])</f>
        <v>27423.714285714286</v>
      </c>
    </row>
    <row r="240" spans="1:13" x14ac:dyDescent="0.25">
      <c r="A240">
        <v>239</v>
      </c>
      <c r="B240" t="s">
        <v>47</v>
      </c>
      <c r="C240" t="s">
        <v>22</v>
      </c>
      <c r="D240" t="s">
        <v>14</v>
      </c>
      <c r="E240">
        <v>4387490</v>
      </c>
      <c r="F240">
        <v>17821</v>
      </c>
      <c r="G240">
        <v>579248</v>
      </c>
      <c r="H240">
        <v>598</v>
      </c>
      <c r="I240">
        <v>12</v>
      </c>
      <c r="J240">
        <v>3</v>
      </c>
      <c r="K240">
        <v>12168</v>
      </c>
      <c r="L240" s="1">
        <f>Marketing[[#This Row],[revenue]]/Marketing[[#This Row],[mark_spent]]</f>
        <v>2.1006546418805071E-2</v>
      </c>
      <c r="M240" s="2">
        <f>IF(Marketing[[#This Row],[orders]]=0,"",Marketing[[#This Row],[mark_spent]]/Marketing[[#This Row],[orders]])</f>
        <v>193082.66666666666</v>
      </c>
    </row>
    <row r="241" spans="1:13" x14ac:dyDescent="0.25">
      <c r="A241">
        <v>240</v>
      </c>
      <c r="B241" t="s">
        <v>47</v>
      </c>
      <c r="C241" t="s">
        <v>23</v>
      </c>
      <c r="D241" t="s">
        <v>14</v>
      </c>
      <c r="E241">
        <v>544756</v>
      </c>
      <c r="F241">
        <v>239600</v>
      </c>
      <c r="G241">
        <v>517833</v>
      </c>
      <c r="H241">
        <v>2396</v>
      </c>
      <c r="I241">
        <v>48</v>
      </c>
      <c r="J241">
        <v>6</v>
      </c>
      <c r="K241">
        <v>5886</v>
      </c>
      <c r="L241" s="1">
        <f>Marketing[[#This Row],[revenue]]/Marketing[[#This Row],[mark_spent]]</f>
        <v>1.1366598884196256E-2</v>
      </c>
      <c r="M241" s="2">
        <f>IF(Marketing[[#This Row],[orders]]=0,"",Marketing[[#This Row],[mark_spent]]/Marketing[[#This Row],[orders]])</f>
        <v>86305.5</v>
      </c>
    </row>
    <row r="242" spans="1:13" x14ac:dyDescent="0.25">
      <c r="A242">
        <v>241</v>
      </c>
      <c r="B242" t="s">
        <v>47</v>
      </c>
      <c r="C242" t="s">
        <v>24</v>
      </c>
      <c r="D242" t="s">
        <v>1</v>
      </c>
      <c r="E242">
        <v>374754</v>
      </c>
      <c r="F242">
        <v>599700</v>
      </c>
      <c r="G242">
        <v>137382</v>
      </c>
      <c r="H242">
        <v>5997</v>
      </c>
      <c r="I242">
        <v>236</v>
      </c>
      <c r="J242">
        <v>35</v>
      </c>
      <c r="K242">
        <v>158340</v>
      </c>
      <c r="L242" s="1">
        <f>Marketing[[#This Row],[revenue]]/Marketing[[#This Row],[mark_spent]]</f>
        <v>1.1525527361663099</v>
      </c>
      <c r="M242" s="2">
        <f>IF(Marketing[[#This Row],[orders]]=0,"",Marketing[[#This Row],[mark_spent]]/Marketing[[#This Row],[orders]])</f>
        <v>3925.2</v>
      </c>
    </row>
    <row r="243" spans="1:13" x14ac:dyDescent="0.25">
      <c r="A243">
        <v>242</v>
      </c>
      <c r="B243" t="s">
        <v>47</v>
      </c>
      <c r="C243" t="s">
        <v>25</v>
      </c>
      <c r="D243" t="s">
        <v>26</v>
      </c>
      <c r="E243">
        <v>39889</v>
      </c>
      <c r="F243">
        <v>105873774</v>
      </c>
      <c r="G243">
        <v>600216</v>
      </c>
      <c r="H243">
        <v>8409</v>
      </c>
      <c r="I243">
        <v>168</v>
      </c>
      <c r="J243">
        <v>20</v>
      </c>
      <c r="K243">
        <v>80600</v>
      </c>
      <c r="L243" s="1">
        <f>Marketing[[#This Row],[revenue]]/Marketing[[#This Row],[mark_spent]]</f>
        <v>0.13428499073666814</v>
      </c>
      <c r="M243" s="2">
        <f>IF(Marketing[[#This Row],[orders]]=0,"",Marketing[[#This Row],[mark_spent]]/Marketing[[#This Row],[orders]])</f>
        <v>30010.799999999999</v>
      </c>
    </row>
    <row r="244" spans="1:13" x14ac:dyDescent="0.25">
      <c r="A244">
        <v>243</v>
      </c>
      <c r="B244" t="s">
        <v>48</v>
      </c>
      <c r="C244" t="s">
        <v>13</v>
      </c>
      <c r="D244" t="s">
        <v>14</v>
      </c>
      <c r="E244">
        <v>349043</v>
      </c>
      <c r="F244">
        <v>924525</v>
      </c>
      <c r="G244">
        <v>985828</v>
      </c>
      <c r="H244">
        <v>1203</v>
      </c>
      <c r="I244">
        <v>28</v>
      </c>
      <c r="J244">
        <v>2</v>
      </c>
      <c r="K244">
        <v>9962</v>
      </c>
      <c r="L244" s="1">
        <f>Marketing[[#This Row],[revenue]]/Marketing[[#This Row],[mark_spent]]</f>
        <v>1.0105211051014985E-2</v>
      </c>
      <c r="M244" s="2">
        <f>IF(Marketing[[#This Row],[orders]]=0,"",Marketing[[#This Row],[mark_spent]]/Marketing[[#This Row],[orders]])</f>
        <v>492914</v>
      </c>
    </row>
    <row r="245" spans="1:13" x14ac:dyDescent="0.25">
      <c r="A245">
        <v>244</v>
      </c>
      <c r="B245" t="s">
        <v>48</v>
      </c>
      <c r="C245" t="s">
        <v>15</v>
      </c>
      <c r="D245" t="s">
        <v>14</v>
      </c>
      <c r="E245">
        <v>348934</v>
      </c>
      <c r="F245">
        <v>475992</v>
      </c>
      <c r="G245">
        <v>19350</v>
      </c>
      <c r="H245">
        <v>1641</v>
      </c>
      <c r="I245">
        <v>37</v>
      </c>
      <c r="J245">
        <v>3</v>
      </c>
      <c r="K245">
        <v>12225</v>
      </c>
      <c r="L245" s="1">
        <f>Marketing[[#This Row],[revenue]]/Marketing[[#This Row],[mark_spent]]</f>
        <v>0.63178294573643412</v>
      </c>
      <c r="M245" s="2">
        <f>IF(Marketing[[#This Row],[orders]]=0,"",Marketing[[#This Row],[mark_spent]]/Marketing[[#This Row],[orders]])</f>
        <v>6450</v>
      </c>
    </row>
    <row r="246" spans="1:13" x14ac:dyDescent="0.25">
      <c r="A246">
        <v>245</v>
      </c>
      <c r="B246" t="s">
        <v>48</v>
      </c>
      <c r="C246" t="s">
        <v>16</v>
      </c>
      <c r="D246" t="s">
        <v>17</v>
      </c>
      <c r="E246">
        <v>89459845</v>
      </c>
      <c r="F246">
        <v>22175</v>
      </c>
      <c r="G246">
        <v>540921</v>
      </c>
      <c r="H246">
        <v>442</v>
      </c>
      <c r="I246">
        <v>9</v>
      </c>
      <c r="J246">
        <v>2</v>
      </c>
      <c r="K246">
        <v>15050</v>
      </c>
      <c r="L246" s="1">
        <f>Marketing[[#This Row],[revenue]]/Marketing[[#This Row],[mark_spent]]</f>
        <v>2.7822916839982177E-2</v>
      </c>
      <c r="M246" s="2">
        <f>IF(Marketing[[#This Row],[orders]]=0,"",Marketing[[#This Row],[mark_spent]]/Marketing[[#This Row],[orders]])</f>
        <v>270460.5</v>
      </c>
    </row>
    <row r="247" spans="1:13" x14ac:dyDescent="0.25">
      <c r="A247">
        <v>246</v>
      </c>
      <c r="B247" t="s">
        <v>48</v>
      </c>
      <c r="C247" t="s">
        <v>18</v>
      </c>
      <c r="D247" t="s">
        <v>17</v>
      </c>
      <c r="E247">
        <v>127823</v>
      </c>
      <c r="F247">
        <v>241000</v>
      </c>
      <c r="G247">
        <v>125816</v>
      </c>
      <c r="H247">
        <v>1205</v>
      </c>
      <c r="I247">
        <v>24</v>
      </c>
      <c r="J247">
        <v>3</v>
      </c>
      <c r="K247">
        <v>8943</v>
      </c>
      <c r="L247" s="1">
        <f>Marketing[[#This Row],[revenue]]/Marketing[[#This Row],[mark_spent]]</f>
        <v>7.107998982641317E-2</v>
      </c>
      <c r="M247" s="2">
        <f>IF(Marketing[[#This Row],[orders]]=0,"",Marketing[[#This Row],[mark_spent]]/Marketing[[#This Row],[orders]])</f>
        <v>41938.666666666664</v>
      </c>
    </row>
    <row r="248" spans="1:13" x14ac:dyDescent="0.25">
      <c r="A248">
        <v>247</v>
      </c>
      <c r="B248" t="s">
        <v>48</v>
      </c>
      <c r="C248" t="s">
        <v>19</v>
      </c>
      <c r="D248" t="s">
        <v>1</v>
      </c>
      <c r="E248">
        <v>10934</v>
      </c>
      <c r="F248">
        <v>297609</v>
      </c>
      <c r="G248">
        <v>16343</v>
      </c>
      <c r="H248">
        <v>2246</v>
      </c>
      <c r="I248">
        <v>45</v>
      </c>
      <c r="J248">
        <v>8</v>
      </c>
      <c r="K248">
        <v>63848</v>
      </c>
      <c r="L248" s="1">
        <f>Marketing[[#This Row],[revenue]]/Marketing[[#This Row],[mark_spent]]</f>
        <v>3.9067490668787861</v>
      </c>
      <c r="M248" s="2">
        <f>IF(Marketing[[#This Row],[orders]]=0,"",Marketing[[#This Row],[mark_spent]]/Marketing[[#This Row],[orders]])</f>
        <v>2042.875</v>
      </c>
    </row>
    <row r="249" spans="1:13" x14ac:dyDescent="0.25">
      <c r="A249">
        <v>248</v>
      </c>
      <c r="B249" t="s">
        <v>48</v>
      </c>
      <c r="C249" t="s">
        <v>20</v>
      </c>
      <c r="D249" t="s">
        <v>14</v>
      </c>
      <c r="E249">
        <v>9034945</v>
      </c>
      <c r="F249">
        <v>536236</v>
      </c>
      <c r="G249">
        <v>55725</v>
      </c>
      <c r="H249">
        <v>1349</v>
      </c>
      <c r="I249">
        <v>1</v>
      </c>
      <c r="J249">
        <v>0</v>
      </c>
      <c r="K249">
        <v>0</v>
      </c>
      <c r="L249" s="1">
        <f>Marketing[[#This Row],[revenue]]/Marketing[[#This Row],[mark_spent]]</f>
        <v>0</v>
      </c>
      <c r="M249" s="2" t="str">
        <f>IF(Marketing[[#This Row],[orders]]=0,"",Marketing[[#This Row],[mark_spent]]/Marketing[[#This Row],[orders]])</f>
        <v/>
      </c>
    </row>
    <row r="250" spans="1:13" x14ac:dyDescent="0.25">
      <c r="A250">
        <v>249</v>
      </c>
      <c r="B250" t="s">
        <v>48</v>
      </c>
      <c r="C250" t="s">
        <v>21</v>
      </c>
      <c r="D250" t="s">
        <v>14</v>
      </c>
      <c r="E250">
        <v>983498</v>
      </c>
      <c r="F250">
        <v>512000</v>
      </c>
      <c r="G250">
        <v>428544</v>
      </c>
      <c r="H250">
        <v>2560</v>
      </c>
      <c r="I250">
        <v>51</v>
      </c>
      <c r="J250">
        <v>2</v>
      </c>
      <c r="K250">
        <v>2934</v>
      </c>
      <c r="L250" s="1">
        <f>Marketing[[#This Row],[revenue]]/Marketing[[#This Row],[mark_spent]]</f>
        <v>6.8464381720430107E-3</v>
      </c>
      <c r="M250" s="2">
        <f>IF(Marketing[[#This Row],[orders]]=0,"",Marketing[[#This Row],[mark_spent]]/Marketing[[#This Row],[orders]])</f>
        <v>214272</v>
      </c>
    </row>
    <row r="251" spans="1:13" x14ac:dyDescent="0.25">
      <c r="A251">
        <v>250</v>
      </c>
      <c r="B251" t="s">
        <v>48</v>
      </c>
      <c r="C251" t="s">
        <v>22</v>
      </c>
      <c r="D251" t="s">
        <v>14</v>
      </c>
      <c r="E251">
        <v>4387490</v>
      </c>
      <c r="F251">
        <v>4908</v>
      </c>
      <c r="G251">
        <v>123809</v>
      </c>
      <c r="H251">
        <v>155</v>
      </c>
      <c r="I251">
        <v>3</v>
      </c>
      <c r="J251">
        <v>1</v>
      </c>
      <c r="K251">
        <v>5265</v>
      </c>
      <c r="L251" s="1">
        <f>Marketing[[#This Row],[revenue]]/Marketing[[#This Row],[mark_spent]]</f>
        <v>4.2525179914222715E-2</v>
      </c>
      <c r="M251" s="2">
        <f>IF(Marketing[[#This Row],[orders]]=0,"",Marketing[[#This Row],[mark_spent]]/Marketing[[#This Row],[orders]])</f>
        <v>123809</v>
      </c>
    </row>
    <row r="252" spans="1:13" x14ac:dyDescent="0.25">
      <c r="A252">
        <v>251</v>
      </c>
      <c r="B252" t="s">
        <v>48</v>
      </c>
      <c r="C252" t="s">
        <v>23</v>
      </c>
      <c r="D252" t="s">
        <v>14</v>
      </c>
      <c r="E252">
        <v>544756</v>
      </c>
      <c r="F252">
        <v>60800</v>
      </c>
      <c r="G252">
        <v>160786</v>
      </c>
      <c r="H252">
        <v>608</v>
      </c>
      <c r="I252">
        <v>12</v>
      </c>
      <c r="J252">
        <v>2</v>
      </c>
      <c r="K252">
        <v>2720</v>
      </c>
      <c r="L252" s="1">
        <f>Marketing[[#This Row],[revenue]]/Marketing[[#This Row],[mark_spent]]</f>
        <v>1.6916895749629943E-2</v>
      </c>
      <c r="M252" s="2">
        <f>IF(Marketing[[#This Row],[orders]]=0,"",Marketing[[#This Row],[mark_spent]]/Marketing[[#This Row],[orders]])</f>
        <v>80393</v>
      </c>
    </row>
    <row r="253" spans="1:13" x14ac:dyDescent="0.25">
      <c r="A253">
        <v>252</v>
      </c>
      <c r="B253" t="s">
        <v>48</v>
      </c>
      <c r="C253" t="s">
        <v>24</v>
      </c>
      <c r="D253" t="s">
        <v>1</v>
      </c>
      <c r="E253">
        <v>374754</v>
      </c>
      <c r="F253">
        <v>117218</v>
      </c>
      <c r="G253">
        <v>15435</v>
      </c>
      <c r="H253">
        <v>1500</v>
      </c>
      <c r="I253">
        <v>31</v>
      </c>
      <c r="J253">
        <v>4</v>
      </c>
      <c r="K253">
        <v>17816</v>
      </c>
      <c r="L253" s="1">
        <f>Marketing[[#This Row],[revenue]]/Marketing[[#This Row],[mark_spent]]</f>
        <v>1.1542597991577583</v>
      </c>
      <c r="M253" s="2">
        <f>IF(Marketing[[#This Row],[orders]]=0,"",Marketing[[#This Row],[mark_spent]]/Marketing[[#This Row],[orders]])</f>
        <v>3858.75</v>
      </c>
    </row>
    <row r="254" spans="1:13" x14ac:dyDescent="0.25">
      <c r="A254">
        <v>253</v>
      </c>
      <c r="B254" t="s">
        <v>48</v>
      </c>
      <c r="C254" t="s">
        <v>25</v>
      </c>
      <c r="D254" t="s">
        <v>26</v>
      </c>
      <c r="E254">
        <v>39889</v>
      </c>
      <c r="F254">
        <v>654544</v>
      </c>
      <c r="G254">
        <v>167064</v>
      </c>
      <c r="H254">
        <v>2099</v>
      </c>
      <c r="I254">
        <v>42</v>
      </c>
      <c r="J254">
        <v>6</v>
      </c>
      <c r="K254">
        <v>23886</v>
      </c>
      <c r="L254" s="1">
        <f>Marketing[[#This Row],[revenue]]/Marketing[[#This Row],[mark_spent]]</f>
        <v>0.14297514724895849</v>
      </c>
      <c r="M254" s="2">
        <f>IF(Marketing[[#This Row],[orders]]=0,"",Marketing[[#This Row],[mark_spent]]/Marketing[[#This Row],[orders]])</f>
        <v>27844</v>
      </c>
    </row>
    <row r="255" spans="1:13" x14ac:dyDescent="0.25">
      <c r="A255">
        <v>254</v>
      </c>
      <c r="B255" t="s">
        <v>49</v>
      </c>
      <c r="C255" t="s">
        <v>13</v>
      </c>
      <c r="D255" t="s">
        <v>14</v>
      </c>
      <c r="E255">
        <v>349043</v>
      </c>
      <c r="F255">
        <v>479596</v>
      </c>
      <c r="G255">
        <v>945642</v>
      </c>
      <c r="H255">
        <v>2408</v>
      </c>
      <c r="I255">
        <v>93</v>
      </c>
      <c r="J255">
        <v>15</v>
      </c>
      <c r="K255">
        <v>81825</v>
      </c>
      <c r="L255" s="1">
        <f>Marketing[[#This Row],[revenue]]/Marketing[[#This Row],[mark_spent]]</f>
        <v>8.6528517134391233E-2</v>
      </c>
      <c r="M255" s="2">
        <f>IF(Marketing[[#This Row],[orders]]=0,"",Marketing[[#This Row],[mark_spent]]/Marketing[[#This Row],[orders]])</f>
        <v>63042.8</v>
      </c>
    </row>
    <row r="256" spans="1:13" x14ac:dyDescent="0.25">
      <c r="A256">
        <v>255</v>
      </c>
      <c r="B256" t="s">
        <v>49</v>
      </c>
      <c r="C256" t="s">
        <v>15</v>
      </c>
      <c r="D256" t="s">
        <v>14</v>
      </c>
      <c r="E256">
        <v>348934</v>
      </c>
      <c r="F256">
        <v>395127</v>
      </c>
      <c r="G256">
        <v>443472</v>
      </c>
      <c r="H256">
        <v>3297</v>
      </c>
      <c r="I256">
        <v>66</v>
      </c>
      <c r="J256">
        <v>7</v>
      </c>
      <c r="K256">
        <v>34867</v>
      </c>
      <c r="L256" s="1">
        <f>Marketing[[#This Row],[revenue]]/Marketing[[#This Row],[mark_spent]]</f>
        <v>7.8622776635277988E-2</v>
      </c>
      <c r="M256" s="2">
        <f>IF(Marketing[[#This Row],[orders]]=0,"",Marketing[[#This Row],[mark_spent]]/Marketing[[#This Row],[orders]])</f>
        <v>63353.142857142855</v>
      </c>
    </row>
    <row r="257" spans="1:13" x14ac:dyDescent="0.25">
      <c r="A257">
        <v>256</v>
      </c>
      <c r="B257" t="s">
        <v>49</v>
      </c>
      <c r="C257" t="s">
        <v>16</v>
      </c>
      <c r="D257" t="s">
        <v>17</v>
      </c>
      <c r="E257">
        <v>89459845</v>
      </c>
      <c r="F257">
        <v>45150</v>
      </c>
      <c r="G257">
        <v>143062</v>
      </c>
      <c r="H257">
        <v>903</v>
      </c>
      <c r="I257">
        <v>18</v>
      </c>
      <c r="J257">
        <v>3</v>
      </c>
      <c r="K257">
        <v>23943</v>
      </c>
      <c r="L257" s="1">
        <f>Marketing[[#This Row],[revenue]]/Marketing[[#This Row],[mark_spent]]</f>
        <v>0.16736100431980541</v>
      </c>
      <c r="M257" s="2">
        <f>IF(Marketing[[#This Row],[orders]]=0,"",Marketing[[#This Row],[mark_spent]]/Marketing[[#This Row],[orders]])</f>
        <v>47687.333333333336</v>
      </c>
    </row>
    <row r="258" spans="1:13" x14ac:dyDescent="0.25">
      <c r="A258">
        <v>257</v>
      </c>
      <c r="B258" t="s">
        <v>49</v>
      </c>
      <c r="C258" t="s">
        <v>18</v>
      </c>
      <c r="D258" t="s">
        <v>17</v>
      </c>
      <c r="E258">
        <v>127823</v>
      </c>
      <c r="F258">
        <v>291441</v>
      </c>
      <c r="G258">
        <v>223576</v>
      </c>
      <c r="H258">
        <v>2408</v>
      </c>
      <c r="I258">
        <v>52</v>
      </c>
      <c r="J258">
        <v>5</v>
      </c>
      <c r="K258">
        <v>19060</v>
      </c>
      <c r="L258" s="1">
        <f>Marketing[[#This Row],[revenue]]/Marketing[[#This Row],[mark_spent]]</f>
        <v>8.5250653021791245E-2</v>
      </c>
      <c r="M258" s="2">
        <f>IF(Marketing[[#This Row],[orders]]=0,"",Marketing[[#This Row],[mark_spent]]/Marketing[[#This Row],[orders]])</f>
        <v>44715.199999999997</v>
      </c>
    </row>
    <row r="259" spans="1:13" x14ac:dyDescent="0.25">
      <c r="A259">
        <v>258</v>
      </c>
      <c r="B259" t="s">
        <v>49</v>
      </c>
      <c r="C259" t="s">
        <v>19</v>
      </c>
      <c r="D259" t="s">
        <v>1</v>
      </c>
      <c r="E259">
        <v>10934</v>
      </c>
      <c r="F259">
        <v>409320</v>
      </c>
      <c r="G259">
        <v>229443</v>
      </c>
      <c r="H259">
        <v>4508</v>
      </c>
      <c r="I259">
        <v>65</v>
      </c>
      <c r="J259">
        <v>14</v>
      </c>
      <c r="K259">
        <v>111734</v>
      </c>
      <c r="L259" s="1">
        <f>Marketing[[#This Row],[revenue]]/Marketing[[#This Row],[mark_spent]]</f>
        <v>0.48697933691592249</v>
      </c>
      <c r="M259" s="2">
        <f>IF(Marketing[[#This Row],[orders]]=0,"",Marketing[[#This Row],[mark_spent]]/Marketing[[#This Row],[orders]])</f>
        <v>16388.785714285714</v>
      </c>
    </row>
    <row r="260" spans="1:13" x14ac:dyDescent="0.25">
      <c r="A260">
        <v>259</v>
      </c>
      <c r="B260" t="s">
        <v>49</v>
      </c>
      <c r="C260" t="s">
        <v>20</v>
      </c>
      <c r="D260" t="s">
        <v>14</v>
      </c>
      <c r="E260">
        <v>9034945</v>
      </c>
      <c r="F260">
        <v>869482</v>
      </c>
      <c r="G260">
        <v>239084</v>
      </c>
      <c r="H260">
        <v>2703</v>
      </c>
      <c r="I260">
        <v>42</v>
      </c>
      <c r="J260">
        <v>7</v>
      </c>
      <c r="K260">
        <v>36456</v>
      </c>
      <c r="L260" s="1">
        <f>Marketing[[#This Row],[revenue]]/Marketing[[#This Row],[mark_spent]]</f>
        <v>0.15248197286309415</v>
      </c>
      <c r="M260" s="2">
        <f>IF(Marketing[[#This Row],[orders]]=0,"",Marketing[[#This Row],[mark_spent]]/Marketing[[#This Row],[orders]])</f>
        <v>34154.857142857145</v>
      </c>
    </row>
    <row r="261" spans="1:13" x14ac:dyDescent="0.25">
      <c r="A261">
        <v>260</v>
      </c>
      <c r="B261" t="s">
        <v>49</v>
      </c>
      <c r="C261" t="s">
        <v>21</v>
      </c>
      <c r="D261" t="s">
        <v>14</v>
      </c>
      <c r="E261">
        <v>983498</v>
      </c>
      <c r="F261">
        <v>624157</v>
      </c>
      <c r="G261">
        <v>18675</v>
      </c>
      <c r="H261">
        <v>5098</v>
      </c>
      <c r="I261">
        <v>122</v>
      </c>
      <c r="J261">
        <v>6</v>
      </c>
      <c r="K261">
        <v>10590</v>
      </c>
      <c r="L261" s="1">
        <f>Marketing[[#This Row],[revenue]]/Marketing[[#This Row],[mark_spent]]</f>
        <v>0.56706827309236951</v>
      </c>
      <c r="M261" s="2">
        <f>IF(Marketing[[#This Row],[orders]]=0,"",Marketing[[#This Row],[mark_spent]]/Marketing[[#This Row],[orders]])</f>
        <v>3112.5</v>
      </c>
    </row>
    <row r="262" spans="1:13" x14ac:dyDescent="0.25">
      <c r="A262">
        <v>261</v>
      </c>
      <c r="B262" t="s">
        <v>49</v>
      </c>
      <c r="C262" t="s">
        <v>22</v>
      </c>
      <c r="D262" t="s">
        <v>14</v>
      </c>
      <c r="E262">
        <v>4387490</v>
      </c>
      <c r="F262">
        <v>8966</v>
      </c>
      <c r="G262">
        <v>28571</v>
      </c>
      <c r="H262">
        <v>297</v>
      </c>
      <c r="I262">
        <v>6</v>
      </c>
      <c r="J262">
        <v>1</v>
      </c>
      <c r="K262">
        <v>4981</v>
      </c>
      <c r="L262" s="1">
        <f>Marketing[[#This Row],[revenue]]/Marketing[[#This Row],[mark_spent]]</f>
        <v>0.17433761506422596</v>
      </c>
      <c r="M262" s="2">
        <f>IF(Marketing[[#This Row],[orders]]=0,"",Marketing[[#This Row],[mark_spent]]/Marketing[[#This Row],[orders]])</f>
        <v>28571</v>
      </c>
    </row>
    <row r="263" spans="1:13" x14ac:dyDescent="0.25">
      <c r="A263">
        <v>262</v>
      </c>
      <c r="B263" t="s">
        <v>49</v>
      </c>
      <c r="C263" t="s">
        <v>23</v>
      </c>
      <c r="D263" t="s">
        <v>14</v>
      </c>
      <c r="E263">
        <v>544756</v>
      </c>
      <c r="F263">
        <v>148794</v>
      </c>
      <c r="G263">
        <v>487966</v>
      </c>
      <c r="H263">
        <v>1196</v>
      </c>
      <c r="I263">
        <v>38</v>
      </c>
      <c r="J263">
        <v>6</v>
      </c>
      <c r="K263">
        <v>8178</v>
      </c>
      <c r="L263" s="1">
        <f>Marketing[[#This Row],[revenue]]/Marketing[[#This Row],[mark_spent]]</f>
        <v>1.6759364381944645E-2</v>
      </c>
      <c r="M263" s="2">
        <f>IF(Marketing[[#This Row],[orders]]=0,"",Marketing[[#This Row],[mark_spent]]/Marketing[[#This Row],[orders]])</f>
        <v>81327.666666666672</v>
      </c>
    </row>
    <row r="264" spans="1:13" x14ac:dyDescent="0.25">
      <c r="A264">
        <v>263</v>
      </c>
      <c r="B264" t="s">
        <v>49</v>
      </c>
      <c r="C264" t="s">
        <v>24</v>
      </c>
      <c r="D264" t="s">
        <v>1</v>
      </c>
      <c r="E264">
        <v>374754</v>
      </c>
      <c r="F264">
        <v>355802</v>
      </c>
      <c r="G264">
        <v>423115</v>
      </c>
      <c r="H264">
        <v>2990</v>
      </c>
      <c r="I264">
        <v>60</v>
      </c>
      <c r="J264">
        <v>9</v>
      </c>
      <c r="K264">
        <v>44829</v>
      </c>
      <c r="L264" s="1">
        <f>Marketing[[#This Row],[revenue]]/Marketing[[#This Row],[mark_spent]]</f>
        <v>0.1059499190527398</v>
      </c>
      <c r="M264" s="2">
        <f>IF(Marketing[[#This Row],[orders]]=0,"",Marketing[[#This Row],[mark_spent]]/Marketing[[#This Row],[orders]])</f>
        <v>47012.777777777781</v>
      </c>
    </row>
    <row r="265" spans="1:13" x14ac:dyDescent="0.25">
      <c r="A265">
        <v>264</v>
      </c>
      <c r="B265" t="s">
        <v>49</v>
      </c>
      <c r="C265" t="s">
        <v>25</v>
      </c>
      <c r="D265" t="s">
        <v>26</v>
      </c>
      <c r="E265">
        <v>39889</v>
      </c>
      <c r="F265">
        <v>2770687</v>
      </c>
      <c r="G265">
        <v>341699</v>
      </c>
      <c r="H265">
        <v>4205</v>
      </c>
      <c r="I265">
        <v>84</v>
      </c>
      <c r="J265">
        <v>16</v>
      </c>
      <c r="K265">
        <v>63696</v>
      </c>
      <c r="L265" s="1">
        <f>Marketing[[#This Row],[revenue]]/Marketing[[#This Row],[mark_spent]]</f>
        <v>0.18640967635257932</v>
      </c>
      <c r="M265" s="2">
        <f>IF(Marketing[[#This Row],[orders]]=0,"",Marketing[[#This Row],[mark_spent]]/Marketing[[#This Row],[orders]])</f>
        <v>21356.1875</v>
      </c>
    </row>
    <row r="266" spans="1:13" x14ac:dyDescent="0.25">
      <c r="A266">
        <v>265</v>
      </c>
      <c r="B266" t="s">
        <v>50</v>
      </c>
      <c r="C266" t="s">
        <v>13</v>
      </c>
      <c r="D266" t="s">
        <v>14</v>
      </c>
      <c r="E266">
        <v>349043</v>
      </c>
      <c r="F266">
        <v>94600</v>
      </c>
      <c r="G266">
        <v>112302</v>
      </c>
      <c r="H266">
        <v>473</v>
      </c>
      <c r="I266">
        <v>15</v>
      </c>
      <c r="J266">
        <v>2</v>
      </c>
      <c r="K266">
        <v>10104</v>
      </c>
      <c r="L266" s="1">
        <f>Marketing[[#This Row],[revenue]]/Marketing[[#This Row],[mark_spent]]</f>
        <v>8.99716834962868E-2</v>
      </c>
      <c r="M266" s="2">
        <f>IF(Marketing[[#This Row],[orders]]=0,"",Marketing[[#This Row],[mark_spent]]/Marketing[[#This Row],[orders]])</f>
        <v>56151</v>
      </c>
    </row>
    <row r="267" spans="1:13" x14ac:dyDescent="0.25">
      <c r="A267">
        <v>266</v>
      </c>
      <c r="B267" t="s">
        <v>50</v>
      </c>
      <c r="C267" t="s">
        <v>15</v>
      </c>
      <c r="D267" t="s">
        <v>14</v>
      </c>
      <c r="E267">
        <v>348934</v>
      </c>
      <c r="F267">
        <v>131400</v>
      </c>
      <c r="G267">
        <v>10357</v>
      </c>
      <c r="H267">
        <v>657</v>
      </c>
      <c r="I267">
        <v>13</v>
      </c>
      <c r="J267">
        <v>2</v>
      </c>
      <c r="K267">
        <v>9962</v>
      </c>
      <c r="L267" s="1">
        <f>Marketing[[#This Row],[revenue]]/Marketing[[#This Row],[mark_spent]]</f>
        <v>0.96186154291783332</v>
      </c>
      <c r="M267" s="2">
        <f>IF(Marketing[[#This Row],[orders]]=0,"",Marketing[[#This Row],[mark_spent]]/Marketing[[#This Row],[orders]])</f>
        <v>5178.5</v>
      </c>
    </row>
    <row r="268" spans="1:13" x14ac:dyDescent="0.25">
      <c r="A268">
        <v>267</v>
      </c>
      <c r="B268" t="s">
        <v>50</v>
      </c>
      <c r="C268" t="s">
        <v>16</v>
      </c>
      <c r="D268" t="s">
        <v>17</v>
      </c>
      <c r="E268">
        <v>89459845</v>
      </c>
      <c r="F268">
        <v>8750</v>
      </c>
      <c r="G268">
        <v>107873</v>
      </c>
      <c r="H268">
        <v>175</v>
      </c>
      <c r="I268">
        <v>1</v>
      </c>
      <c r="J268">
        <v>0</v>
      </c>
      <c r="K268">
        <v>0</v>
      </c>
      <c r="L268" s="1">
        <f>Marketing[[#This Row],[revenue]]/Marketing[[#This Row],[mark_spent]]</f>
        <v>0</v>
      </c>
      <c r="M268" s="2" t="str">
        <f>IF(Marketing[[#This Row],[orders]]=0,"",Marketing[[#This Row],[mark_spent]]/Marketing[[#This Row],[orders]])</f>
        <v/>
      </c>
    </row>
    <row r="269" spans="1:13" x14ac:dyDescent="0.25">
      <c r="A269">
        <v>268</v>
      </c>
      <c r="B269" t="s">
        <v>50</v>
      </c>
      <c r="C269" t="s">
        <v>18</v>
      </c>
      <c r="D269" t="s">
        <v>17</v>
      </c>
      <c r="E269">
        <v>127823</v>
      </c>
      <c r="F269">
        <v>61867</v>
      </c>
      <c r="G269">
        <v>947222</v>
      </c>
      <c r="H269">
        <v>487</v>
      </c>
      <c r="I269">
        <v>19</v>
      </c>
      <c r="J269">
        <v>2</v>
      </c>
      <c r="K269">
        <v>5730</v>
      </c>
      <c r="L269" s="1">
        <f>Marketing[[#This Row],[revenue]]/Marketing[[#This Row],[mark_spent]]</f>
        <v>6.0492682813532627E-3</v>
      </c>
      <c r="M269" s="2">
        <f>IF(Marketing[[#This Row],[orders]]=0,"",Marketing[[#This Row],[mark_spent]]/Marketing[[#This Row],[orders]])</f>
        <v>473611</v>
      </c>
    </row>
    <row r="270" spans="1:13" x14ac:dyDescent="0.25">
      <c r="A270">
        <v>269</v>
      </c>
      <c r="B270" t="s">
        <v>50</v>
      </c>
      <c r="C270" t="s">
        <v>19</v>
      </c>
      <c r="D270" t="s">
        <v>1</v>
      </c>
      <c r="E270">
        <v>10934</v>
      </c>
      <c r="F270">
        <v>94976</v>
      </c>
      <c r="G270">
        <v>903491</v>
      </c>
      <c r="H270">
        <v>904</v>
      </c>
      <c r="I270">
        <v>22</v>
      </c>
      <c r="J270">
        <v>5</v>
      </c>
      <c r="K270">
        <v>38030</v>
      </c>
      <c r="L270" s="1">
        <f>Marketing[[#This Row],[revenue]]/Marketing[[#This Row],[mark_spent]]</f>
        <v>4.209228426182441E-2</v>
      </c>
      <c r="M270" s="2">
        <f>IF(Marketing[[#This Row],[orders]]=0,"",Marketing[[#This Row],[mark_spent]]/Marketing[[#This Row],[orders]])</f>
        <v>180698.2</v>
      </c>
    </row>
    <row r="271" spans="1:13" x14ac:dyDescent="0.25">
      <c r="A271">
        <v>270</v>
      </c>
      <c r="B271" t="s">
        <v>50</v>
      </c>
      <c r="C271" t="s">
        <v>20</v>
      </c>
      <c r="D271" t="s">
        <v>14</v>
      </c>
      <c r="E271">
        <v>9034945</v>
      </c>
      <c r="F271">
        <v>106000</v>
      </c>
      <c r="G271">
        <v>230401</v>
      </c>
      <c r="H271">
        <v>530</v>
      </c>
      <c r="I271">
        <v>6</v>
      </c>
      <c r="J271">
        <v>1</v>
      </c>
      <c r="K271">
        <v>5981</v>
      </c>
      <c r="L271" s="1">
        <f>Marketing[[#This Row],[revenue]]/Marketing[[#This Row],[mark_spent]]</f>
        <v>2.5959088719232991E-2</v>
      </c>
      <c r="M271" s="2">
        <f>IF(Marketing[[#This Row],[orders]]=0,"",Marketing[[#This Row],[mark_spent]]/Marketing[[#This Row],[orders]])</f>
        <v>230401</v>
      </c>
    </row>
    <row r="272" spans="1:13" x14ac:dyDescent="0.25">
      <c r="A272">
        <v>271</v>
      </c>
      <c r="B272" t="s">
        <v>50</v>
      </c>
      <c r="C272" t="s">
        <v>21</v>
      </c>
      <c r="D272" t="s">
        <v>14</v>
      </c>
      <c r="E272">
        <v>983498</v>
      </c>
      <c r="F272">
        <v>115468</v>
      </c>
      <c r="G272">
        <v>205903</v>
      </c>
      <c r="H272">
        <v>1015</v>
      </c>
      <c r="I272">
        <v>20</v>
      </c>
      <c r="J272">
        <v>1</v>
      </c>
      <c r="K272">
        <v>1981</v>
      </c>
      <c r="L272" s="1">
        <f>Marketing[[#This Row],[revenue]]/Marketing[[#This Row],[mark_spent]]</f>
        <v>9.6210351476180532E-3</v>
      </c>
      <c r="M272" s="2">
        <f>IF(Marketing[[#This Row],[orders]]=0,"",Marketing[[#This Row],[mark_spent]]/Marketing[[#This Row],[orders]])</f>
        <v>205903</v>
      </c>
    </row>
    <row r="273" spans="1:13" x14ac:dyDescent="0.25">
      <c r="A273">
        <v>272</v>
      </c>
      <c r="B273" t="s">
        <v>50</v>
      </c>
      <c r="C273" t="s">
        <v>22</v>
      </c>
      <c r="D273" t="s">
        <v>14</v>
      </c>
      <c r="E273">
        <v>4387490</v>
      </c>
      <c r="F273">
        <v>2214</v>
      </c>
      <c r="G273">
        <v>148747</v>
      </c>
      <c r="H273">
        <v>66</v>
      </c>
      <c r="I273">
        <v>3</v>
      </c>
      <c r="J273">
        <v>1</v>
      </c>
      <c r="K273">
        <v>4461</v>
      </c>
      <c r="L273" s="1">
        <f>Marketing[[#This Row],[revenue]]/Marketing[[#This Row],[mark_spent]]</f>
        <v>2.9990520817226567E-2</v>
      </c>
      <c r="M273" s="2">
        <f>IF(Marketing[[#This Row],[orders]]=0,"",Marketing[[#This Row],[mark_spent]]/Marketing[[#This Row],[orders]])</f>
        <v>148747</v>
      </c>
    </row>
    <row r="274" spans="1:13" x14ac:dyDescent="0.25">
      <c r="A274">
        <v>273</v>
      </c>
      <c r="B274" t="s">
        <v>50</v>
      </c>
      <c r="C274" t="s">
        <v>23</v>
      </c>
      <c r="D274" t="s">
        <v>14</v>
      </c>
      <c r="E274">
        <v>544756</v>
      </c>
      <c r="F274">
        <v>25000</v>
      </c>
      <c r="G274">
        <v>587129</v>
      </c>
      <c r="H274">
        <v>250</v>
      </c>
      <c r="I274">
        <v>5</v>
      </c>
      <c r="J274">
        <v>1</v>
      </c>
      <c r="K274">
        <v>981</v>
      </c>
      <c r="L274" s="1">
        <f>Marketing[[#This Row],[revenue]]/Marketing[[#This Row],[mark_spent]]</f>
        <v>1.6708423532136891E-3</v>
      </c>
      <c r="M274" s="2">
        <f>IF(Marketing[[#This Row],[orders]]=0,"",Marketing[[#This Row],[mark_spent]]/Marketing[[#This Row],[orders]])</f>
        <v>587129</v>
      </c>
    </row>
    <row r="275" spans="1:13" x14ac:dyDescent="0.25">
      <c r="A275">
        <v>274</v>
      </c>
      <c r="B275" t="s">
        <v>50</v>
      </c>
      <c r="C275" t="s">
        <v>24</v>
      </c>
      <c r="D275" t="s">
        <v>1</v>
      </c>
      <c r="E275">
        <v>374754</v>
      </c>
      <c r="F275">
        <v>46753</v>
      </c>
      <c r="G275">
        <v>622753</v>
      </c>
      <c r="H275">
        <v>591</v>
      </c>
      <c r="I275">
        <v>12</v>
      </c>
      <c r="J275">
        <v>2</v>
      </c>
      <c r="K275">
        <v>10130</v>
      </c>
      <c r="L275" s="1">
        <f>Marketing[[#This Row],[revenue]]/Marketing[[#This Row],[mark_spent]]</f>
        <v>1.6266481253402233E-2</v>
      </c>
      <c r="M275" s="2">
        <f>IF(Marketing[[#This Row],[orders]]=0,"",Marketing[[#This Row],[mark_spent]]/Marketing[[#This Row],[orders]])</f>
        <v>311376.5</v>
      </c>
    </row>
    <row r="276" spans="1:13" x14ac:dyDescent="0.25">
      <c r="A276">
        <v>275</v>
      </c>
      <c r="B276" t="s">
        <v>50</v>
      </c>
      <c r="C276" t="s">
        <v>25</v>
      </c>
      <c r="D276" t="s">
        <v>26</v>
      </c>
      <c r="E276">
        <v>39889</v>
      </c>
      <c r="F276">
        <v>2885291</v>
      </c>
      <c r="G276">
        <v>758366</v>
      </c>
      <c r="H276">
        <v>848</v>
      </c>
      <c r="I276">
        <v>17</v>
      </c>
      <c r="J276">
        <v>3</v>
      </c>
      <c r="K276">
        <v>11943</v>
      </c>
      <c r="L276" s="1">
        <f>Marketing[[#This Row],[revenue]]/Marketing[[#This Row],[mark_spent]]</f>
        <v>1.574833259929902E-2</v>
      </c>
      <c r="M276" s="2">
        <f>IF(Marketing[[#This Row],[orders]]=0,"",Marketing[[#This Row],[mark_spent]]/Marketing[[#This Row],[orders]])</f>
        <v>252788.66666666666</v>
      </c>
    </row>
    <row r="277" spans="1:13" x14ac:dyDescent="0.25">
      <c r="A277">
        <v>276</v>
      </c>
      <c r="B277" t="s">
        <v>51</v>
      </c>
      <c r="C277" t="s">
        <v>13</v>
      </c>
      <c r="D277" t="s">
        <v>14</v>
      </c>
      <c r="E277">
        <v>349043</v>
      </c>
      <c r="F277">
        <v>168408</v>
      </c>
      <c r="G277">
        <v>198877</v>
      </c>
      <c r="H277">
        <v>1207</v>
      </c>
      <c r="I277">
        <v>39</v>
      </c>
      <c r="J277">
        <v>4</v>
      </c>
      <c r="K277">
        <v>22488</v>
      </c>
      <c r="L277" s="1">
        <f>Marketing[[#This Row],[revenue]]/Marketing[[#This Row],[mark_spent]]</f>
        <v>0.11307491565138252</v>
      </c>
      <c r="M277" s="2">
        <f>IF(Marketing[[#This Row],[orders]]=0,"",Marketing[[#This Row],[mark_spent]]/Marketing[[#This Row],[orders]])</f>
        <v>49719.25</v>
      </c>
    </row>
    <row r="278" spans="1:13" x14ac:dyDescent="0.25">
      <c r="A278">
        <v>277</v>
      </c>
      <c r="B278" t="s">
        <v>51</v>
      </c>
      <c r="C278" t="s">
        <v>15</v>
      </c>
      <c r="D278" t="s">
        <v>14</v>
      </c>
      <c r="E278">
        <v>348934</v>
      </c>
      <c r="F278">
        <v>438858</v>
      </c>
      <c r="G278">
        <v>179354</v>
      </c>
      <c r="H278">
        <v>1657</v>
      </c>
      <c r="I278">
        <v>33</v>
      </c>
      <c r="J278">
        <v>3</v>
      </c>
      <c r="K278">
        <v>15345</v>
      </c>
      <c r="L278" s="1">
        <f>Marketing[[#This Row],[revenue]]/Marketing[[#This Row],[mark_spent]]</f>
        <v>8.5557054763205728E-2</v>
      </c>
      <c r="M278" s="2">
        <f>IF(Marketing[[#This Row],[orders]]=0,"",Marketing[[#This Row],[mark_spent]]/Marketing[[#This Row],[orders]])</f>
        <v>59784.666666666664</v>
      </c>
    </row>
    <row r="279" spans="1:13" x14ac:dyDescent="0.25">
      <c r="A279">
        <v>278</v>
      </c>
      <c r="B279" t="s">
        <v>51</v>
      </c>
      <c r="C279" t="s">
        <v>16</v>
      </c>
      <c r="D279" t="s">
        <v>17</v>
      </c>
      <c r="E279">
        <v>89459845</v>
      </c>
      <c r="F279">
        <v>22450</v>
      </c>
      <c r="G279">
        <v>154574</v>
      </c>
      <c r="H279">
        <v>449</v>
      </c>
      <c r="I279">
        <v>2</v>
      </c>
      <c r="J279">
        <v>0</v>
      </c>
      <c r="K279">
        <v>0</v>
      </c>
      <c r="L279" s="1">
        <f>Marketing[[#This Row],[revenue]]/Marketing[[#This Row],[mark_spent]]</f>
        <v>0</v>
      </c>
      <c r="M279" s="2" t="str">
        <f>IF(Marketing[[#This Row],[orders]]=0,"",Marketing[[#This Row],[mark_spent]]/Marketing[[#This Row],[orders]])</f>
        <v/>
      </c>
    </row>
    <row r="280" spans="1:13" x14ac:dyDescent="0.25">
      <c r="A280">
        <v>279</v>
      </c>
      <c r="B280" t="s">
        <v>51</v>
      </c>
      <c r="C280" t="s">
        <v>18</v>
      </c>
      <c r="D280" t="s">
        <v>17</v>
      </c>
      <c r="E280">
        <v>127823</v>
      </c>
      <c r="F280">
        <v>240600</v>
      </c>
      <c r="G280">
        <v>44531</v>
      </c>
      <c r="H280">
        <v>1203</v>
      </c>
      <c r="I280">
        <v>11</v>
      </c>
      <c r="J280">
        <v>1</v>
      </c>
      <c r="K280">
        <v>2283</v>
      </c>
      <c r="L280" s="1">
        <f>Marketing[[#This Row],[revenue]]/Marketing[[#This Row],[mark_spent]]</f>
        <v>5.1267656239473623E-2</v>
      </c>
      <c r="M280" s="2">
        <f>IF(Marketing[[#This Row],[orders]]=0,"",Marketing[[#This Row],[mark_spent]]/Marketing[[#This Row],[orders]])</f>
        <v>44531</v>
      </c>
    </row>
    <row r="281" spans="1:13" x14ac:dyDescent="0.25">
      <c r="A281">
        <v>280</v>
      </c>
      <c r="B281" t="s">
        <v>51</v>
      </c>
      <c r="C281" t="s">
        <v>19</v>
      </c>
      <c r="D281" t="s">
        <v>1</v>
      </c>
      <c r="E281">
        <v>10934</v>
      </c>
      <c r="F281">
        <v>195016</v>
      </c>
      <c r="G281">
        <v>388042</v>
      </c>
      <c r="H281">
        <v>2247</v>
      </c>
      <c r="I281">
        <v>82</v>
      </c>
      <c r="J281">
        <v>16</v>
      </c>
      <c r="K281">
        <v>127696</v>
      </c>
      <c r="L281" s="1">
        <f>Marketing[[#This Row],[revenue]]/Marketing[[#This Row],[mark_spent]]</f>
        <v>0.32907778024028328</v>
      </c>
      <c r="M281" s="2">
        <f>IF(Marketing[[#This Row],[orders]]=0,"",Marketing[[#This Row],[mark_spent]]/Marketing[[#This Row],[orders]])</f>
        <v>24252.625</v>
      </c>
    </row>
    <row r="282" spans="1:13" x14ac:dyDescent="0.25">
      <c r="A282">
        <v>281</v>
      </c>
      <c r="B282" t="s">
        <v>51</v>
      </c>
      <c r="C282" t="s">
        <v>20</v>
      </c>
      <c r="D282" t="s">
        <v>14</v>
      </c>
      <c r="E282">
        <v>9034945</v>
      </c>
      <c r="F282">
        <v>174375</v>
      </c>
      <c r="G282">
        <v>125924</v>
      </c>
      <c r="H282">
        <v>1342</v>
      </c>
      <c r="I282">
        <v>27</v>
      </c>
      <c r="J282">
        <v>4</v>
      </c>
      <c r="K282">
        <v>26556</v>
      </c>
      <c r="L282" s="1">
        <f>Marketing[[#This Row],[revenue]]/Marketing[[#This Row],[mark_spent]]</f>
        <v>0.21088910771576508</v>
      </c>
      <c r="M282" s="2">
        <f>IF(Marketing[[#This Row],[orders]]=0,"",Marketing[[#This Row],[mark_spent]]/Marketing[[#This Row],[orders]])</f>
        <v>31481</v>
      </c>
    </row>
    <row r="283" spans="1:13" x14ac:dyDescent="0.25">
      <c r="A283">
        <v>282</v>
      </c>
      <c r="B283" t="s">
        <v>51</v>
      </c>
      <c r="C283" t="s">
        <v>21</v>
      </c>
      <c r="D283" t="s">
        <v>14</v>
      </c>
      <c r="E283">
        <v>983498</v>
      </c>
      <c r="F283">
        <v>508600</v>
      </c>
      <c r="G283">
        <v>240354</v>
      </c>
      <c r="H283">
        <v>2543</v>
      </c>
      <c r="I283">
        <v>73</v>
      </c>
      <c r="J283">
        <v>1</v>
      </c>
      <c r="K283">
        <v>1981</v>
      </c>
      <c r="L283" s="1">
        <f>Marketing[[#This Row],[revenue]]/Marketing[[#This Row],[mark_spent]]</f>
        <v>8.2420097023556925E-3</v>
      </c>
      <c r="M283" s="2">
        <f>IF(Marketing[[#This Row],[orders]]=0,"",Marketing[[#This Row],[mark_spent]]/Marketing[[#This Row],[orders]])</f>
        <v>240354</v>
      </c>
    </row>
    <row r="284" spans="1:13" x14ac:dyDescent="0.25">
      <c r="A284">
        <v>283</v>
      </c>
      <c r="B284" t="s">
        <v>51</v>
      </c>
      <c r="C284" t="s">
        <v>22</v>
      </c>
      <c r="D284" t="s">
        <v>14</v>
      </c>
      <c r="E284">
        <v>4387490</v>
      </c>
      <c r="F284">
        <v>4906</v>
      </c>
      <c r="G284">
        <v>107116</v>
      </c>
      <c r="H284">
        <v>143</v>
      </c>
      <c r="I284">
        <v>3</v>
      </c>
      <c r="J284">
        <v>1</v>
      </c>
      <c r="K284">
        <v>4981</v>
      </c>
      <c r="L284" s="1">
        <f>Marketing[[#This Row],[revenue]]/Marketing[[#This Row],[mark_spent]]</f>
        <v>4.6500989581388402E-2</v>
      </c>
      <c r="M284" s="2">
        <f>IF(Marketing[[#This Row],[orders]]=0,"",Marketing[[#This Row],[mark_spent]]/Marketing[[#This Row],[orders]])</f>
        <v>107116</v>
      </c>
    </row>
    <row r="285" spans="1:13" x14ac:dyDescent="0.25">
      <c r="A285">
        <v>284</v>
      </c>
      <c r="B285" t="s">
        <v>51</v>
      </c>
      <c r="C285" t="s">
        <v>23</v>
      </c>
      <c r="D285" t="s">
        <v>14</v>
      </c>
      <c r="E285">
        <v>544756</v>
      </c>
      <c r="F285">
        <v>55269</v>
      </c>
      <c r="G285">
        <v>31592</v>
      </c>
      <c r="H285">
        <v>610</v>
      </c>
      <c r="I285">
        <v>0</v>
      </c>
      <c r="J285">
        <v>0</v>
      </c>
      <c r="K285">
        <v>0</v>
      </c>
      <c r="L285" s="1">
        <f>Marketing[[#This Row],[revenue]]/Marketing[[#This Row],[mark_spent]]</f>
        <v>0</v>
      </c>
      <c r="M285" s="2" t="str">
        <f>IF(Marketing[[#This Row],[orders]]=0,"",Marketing[[#This Row],[mark_spent]]/Marketing[[#This Row],[orders]])</f>
        <v/>
      </c>
    </row>
    <row r="286" spans="1:13" x14ac:dyDescent="0.25">
      <c r="A286">
        <v>285</v>
      </c>
      <c r="B286" t="s">
        <v>51</v>
      </c>
      <c r="C286" t="s">
        <v>24</v>
      </c>
      <c r="D286" t="s">
        <v>1</v>
      </c>
      <c r="E286">
        <v>374754</v>
      </c>
      <c r="F286">
        <v>192489</v>
      </c>
      <c r="G286">
        <v>15596</v>
      </c>
      <c r="H286">
        <v>1497</v>
      </c>
      <c r="I286">
        <v>34</v>
      </c>
      <c r="J286">
        <v>5</v>
      </c>
      <c r="K286">
        <v>25205</v>
      </c>
      <c r="L286" s="1">
        <f>Marketing[[#This Row],[revenue]]/Marketing[[#This Row],[mark_spent]]</f>
        <v>1.6161195178250833</v>
      </c>
      <c r="M286" s="2">
        <f>IF(Marketing[[#This Row],[orders]]=0,"",Marketing[[#This Row],[mark_spent]]/Marketing[[#This Row],[orders]])</f>
        <v>3119.2</v>
      </c>
    </row>
    <row r="287" spans="1:13" x14ac:dyDescent="0.25">
      <c r="A287">
        <v>286</v>
      </c>
      <c r="B287" t="s">
        <v>51</v>
      </c>
      <c r="C287" t="s">
        <v>25</v>
      </c>
      <c r="D287" t="s">
        <v>26</v>
      </c>
      <c r="E287">
        <v>39889</v>
      </c>
      <c r="F287">
        <v>20930000</v>
      </c>
      <c r="G287">
        <v>808773</v>
      </c>
      <c r="H287">
        <v>2093</v>
      </c>
      <c r="I287">
        <v>22</v>
      </c>
      <c r="J287">
        <v>3</v>
      </c>
      <c r="K287">
        <v>12213</v>
      </c>
      <c r="L287" s="1">
        <f>Marketing[[#This Row],[revenue]]/Marketing[[#This Row],[mark_spent]]</f>
        <v>1.5100652469852481E-2</v>
      </c>
      <c r="M287" s="2">
        <f>IF(Marketing[[#This Row],[orders]]=0,"",Marketing[[#This Row],[mark_spent]]/Marketing[[#This Row],[orders]])</f>
        <v>269591</v>
      </c>
    </row>
    <row r="288" spans="1:13" x14ac:dyDescent="0.25">
      <c r="A288">
        <v>287</v>
      </c>
      <c r="B288" t="s">
        <v>52</v>
      </c>
      <c r="C288" t="s">
        <v>13</v>
      </c>
      <c r="D288" t="s">
        <v>14</v>
      </c>
      <c r="E288">
        <v>349043</v>
      </c>
      <c r="F288">
        <v>213771</v>
      </c>
      <c r="G288">
        <v>500333</v>
      </c>
      <c r="H288">
        <v>241</v>
      </c>
      <c r="I288">
        <v>9</v>
      </c>
      <c r="J288">
        <v>1</v>
      </c>
      <c r="K288">
        <v>4223</v>
      </c>
      <c r="L288" s="1">
        <f>Marketing[[#This Row],[revenue]]/Marketing[[#This Row],[mark_spent]]</f>
        <v>8.440378707780619E-3</v>
      </c>
      <c r="M288" s="2">
        <f>IF(Marketing[[#This Row],[orders]]=0,"",Marketing[[#This Row],[mark_spent]]/Marketing[[#This Row],[orders]])</f>
        <v>500333</v>
      </c>
    </row>
    <row r="289" spans="1:13" x14ac:dyDescent="0.25">
      <c r="A289">
        <v>288</v>
      </c>
      <c r="B289" t="s">
        <v>52</v>
      </c>
      <c r="C289" t="s">
        <v>15</v>
      </c>
      <c r="D289" t="s">
        <v>14</v>
      </c>
      <c r="E289">
        <v>348934</v>
      </c>
      <c r="F289">
        <v>66400</v>
      </c>
      <c r="G289">
        <v>323577</v>
      </c>
      <c r="H289">
        <v>332</v>
      </c>
      <c r="I289">
        <v>13</v>
      </c>
      <c r="J289">
        <v>0</v>
      </c>
      <c r="K289">
        <v>0</v>
      </c>
      <c r="L289" s="1">
        <f>Marketing[[#This Row],[revenue]]/Marketing[[#This Row],[mark_spent]]</f>
        <v>0</v>
      </c>
      <c r="M289" s="2" t="str">
        <f>IF(Marketing[[#This Row],[orders]]=0,"",Marketing[[#This Row],[mark_spent]]/Marketing[[#This Row],[orders]])</f>
        <v/>
      </c>
    </row>
    <row r="290" spans="1:13" x14ac:dyDescent="0.25">
      <c r="A290">
        <v>289</v>
      </c>
      <c r="B290" t="s">
        <v>52</v>
      </c>
      <c r="C290" t="s">
        <v>16</v>
      </c>
      <c r="D290" t="s">
        <v>17</v>
      </c>
      <c r="E290">
        <v>89459845</v>
      </c>
      <c r="F290">
        <v>4662</v>
      </c>
      <c r="G290">
        <v>175425</v>
      </c>
      <c r="H290">
        <v>83</v>
      </c>
      <c r="I290">
        <v>2</v>
      </c>
      <c r="J290">
        <v>0</v>
      </c>
      <c r="K290">
        <v>0</v>
      </c>
      <c r="L290" s="1">
        <f>Marketing[[#This Row],[revenue]]/Marketing[[#This Row],[mark_spent]]</f>
        <v>0</v>
      </c>
      <c r="M290" s="2" t="str">
        <f>IF(Marketing[[#This Row],[orders]]=0,"",Marketing[[#This Row],[mark_spent]]/Marketing[[#This Row],[orders]])</f>
        <v/>
      </c>
    </row>
    <row r="291" spans="1:13" x14ac:dyDescent="0.25">
      <c r="A291">
        <v>290</v>
      </c>
      <c r="B291" t="s">
        <v>52</v>
      </c>
      <c r="C291" t="s">
        <v>18</v>
      </c>
      <c r="D291" t="s">
        <v>17</v>
      </c>
      <c r="E291">
        <v>127823</v>
      </c>
      <c r="F291">
        <v>40004</v>
      </c>
      <c r="G291">
        <v>148724</v>
      </c>
      <c r="H291">
        <v>243</v>
      </c>
      <c r="I291">
        <v>5</v>
      </c>
      <c r="J291">
        <v>0</v>
      </c>
      <c r="K291">
        <v>0</v>
      </c>
      <c r="L291" s="1">
        <f>Marketing[[#This Row],[revenue]]/Marketing[[#This Row],[mark_spent]]</f>
        <v>0</v>
      </c>
      <c r="M291" s="2" t="str">
        <f>IF(Marketing[[#This Row],[orders]]=0,"",Marketing[[#This Row],[mark_spent]]/Marketing[[#This Row],[orders]])</f>
        <v/>
      </c>
    </row>
    <row r="292" spans="1:13" x14ac:dyDescent="0.25">
      <c r="A292">
        <v>291</v>
      </c>
      <c r="B292" t="s">
        <v>52</v>
      </c>
      <c r="C292" t="s">
        <v>19</v>
      </c>
      <c r="D292" t="s">
        <v>1</v>
      </c>
      <c r="E292">
        <v>10934</v>
      </c>
      <c r="F292">
        <v>44000</v>
      </c>
      <c r="G292">
        <v>572183</v>
      </c>
      <c r="H292">
        <v>440</v>
      </c>
      <c r="I292">
        <v>15</v>
      </c>
      <c r="J292">
        <v>3</v>
      </c>
      <c r="K292">
        <v>23943</v>
      </c>
      <c r="L292" s="1">
        <f>Marketing[[#This Row],[revenue]]/Marketing[[#This Row],[mark_spent]]</f>
        <v>4.1845004133293021E-2</v>
      </c>
      <c r="M292" s="2">
        <f>IF(Marketing[[#This Row],[orders]]=0,"",Marketing[[#This Row],[mark_spent]]/Marketing[[#This Row],[orders]])</f>
        <v>190727.66666666666</v>
      </c>
    </row>
    <row r="293" spans="1:13" x14ac:dyDescent="0.25">
      <c r="A293">
        <v>292</v>
      </c>
      <c r="B293" t="s">
        <v>52</v>
      </c>
      <c r="C293" t="s">
        <v>20</v>
      </c>
      <c r="D293" t="s">
        <v>14</v>
      </c>
      <c r="E293">
        <v>9034945</v>
      </c>
      <c r="F293">
        <v>44112</v>
      </c>
      <c r="G293">
        <v>183216</v>
      </c>
      <c r="H293">
        <v>275</v>
      </c>
      <c r="I293">
        <v>6</v>
      </c>
      <c r="J293">
        <v>1</v>
      </c>
      <c r="K293">
        <v>5981</v>
      </c>
      <c r="L293" s="1">
        <f>Marketing[[#This Row],[revenue]]/Marketing[[#This Row],[mark_spent]]</f>
        <v>3.2644528862108113E-2</v>
      </c>
      <c r="M293" s="2">
        <f>IF(Marketing[[#This Row],[orders]]=0,"",Marketing[[#This Row],[mark_spent]]/Marketing[[#This Row],[orders]])</f>
        <v>183216</v>
      </c>
    </row>
    <row r="294" spans="1:13" x14ac:dyDescent="0.25">
      <c r="A294">
        <v>293</v>
      </c>
      <c r="B294" t="s">
        <v>52</v>
      </c>
      <c r="C294" t="s">
        <v>21</v>
      </c>
      <c r="D294" t="s">
        <v>14</v>
      </c>
      <c r="E294">
        <v>983498</v>
      </c>
      <c r="F294">
        <v>78799</v>
      </c>
      <c r="G294">
        <v>25414</v>
      </c>
      <c r="H294">
        <v>503</v>
      </c>
      <c r="I294">
        <v>3</v>
      </c>
      <c r="J294">
        <v>0</v>
      </c>
      <c r="K294">
        <v>0</v>
      </c>
      <c r="L294" s="1">
        <f>Marketing[[#This Row],[revenue]]/Marketing[[#This Row],[mark_spent]]</f>
        <v>0</v>
      </c>
      <c r="M294" s="2" t="str">
        <f>IF(Marketing[[#This Row],[orders]]=0,"",Marketing[[#This Row],[mark_spent]]/Marketing[[#This Row],[orders]])</f>
        <v/>
      </c>
    </row>
    <row r="295" spans="1:13" x14ac:dyDescent="0.25">
      <c r="A295">
        <v>294</v>
      </c>
      <c r="B295" t="s">
        <v>52</v>
      </c>
      <c r="C295" t="s">
        <v>22</v>
      </c>
      <c r="D295" t="s">
        <v>14</v>
      </c>
      <c r="E295">
        <v>4387490</v>
      </c>
      <c r="F295">
        <v>667</v>
      </c>
      <c r="G295">
        <v>20042</v>
      </c>
      <c r="H295">
        <v>20</v>
      </c>
      <c r="I295">
        <v>0</v>
      </c>
      <c r="J295">
        <v>0</v>
      </c>
      <c r="K295">
        <v>0</v>
      </c>
      <c r="L295" s="1">
        <f>Marketing[[#This Row],[revenue]]/Marketing[[#This Row],[mark_spent]]</f>
        <v>0</v>
      </c>
      <c r="M295" s="2" t="str">
        <f>IF(Marketing[[#This Row],[orders]]=0,"",Marketing[[#This Row],[mark_spent]]/Marketing[[#This Row],[orders]])</f>
        <v/>
      </c>
    </row>
    <row r="296" spans="1:13" x14ac:dyDescent="0.25">
      <c r="A296">
        <v>295</v>
      </c>
      <c r="B296" t="s">
        <v>52</v>
      </c>
      <c r="C296" t="s">
        <v>23</v>
      </c>
      <c r="D296" t="s">
        <v>14</v>
      </c>
      <c r="E296">
        <v>544756</v>
      </c>
      <c r="F296">
        <v>13693</v>
      </c>
      <c r="G296">
        <v>309845</v>
      </c>
      <c r="H296">
        <v>115</v>
      </c>
      <c r="I296">
        <v>2</v>
      </c>
      <c r="J296">
        <v>0</v>
      </c>
      <c r="K296">
        <v>0</v>
      </c>
      <c r="L296" s="1">
        <f>Marketing[[#This Row],[revenue]]/Marketing[[#This Row],[mark_spent]]</f>
        <v>0</v>
      </c>
      <c r="M296" s="2" t="str">
        <f>IF(Marketing[[#This Row],[orders]]=0,"",Marketing[[#This Row],[mark_spent]]/Marketing[[#This Row],[orders]])</f>
        <v/>
      </c>
    </row>
    <row r="297" spans="1:13" x14ac:dyDescent="0.25">
      <c r="A297">
        <v>296</v>
      </c>
      <c r="B297" t="s">
        <v>52</v>
      </c>
      <c r="C297" t="s">
        <v>24</v>
      </c>
      <c r="D297" t="s">
        <v>1</v>
      </c>
      <c r="E297">
        <v>374754</v>
      </c>
      <c r="F297">
        <v>24018</v>
      </c>
      <c r="G297">
        <v>352408</v>
      </c>
      <c r="H297">
        <v>298</v>
      </c>
      <c r="I297">
        <v>6</v>
      </c>
      <c r="J297">
        <v>1</v>
      </c>
      <c r="K297">
        <v>4661</v>
      </c>
      <c r="L297" s="1">
        <f>Marketing[[#This Row],[revenue]]/Marketing[[#This Row],[mark_spent]]</f>
        <v>1.3226146966016662E-2</v>
      </c>
      <c r="M297" s="2">
        <f>IF(Marketing[[#This Row],[orders]]=0,"",Marketing[[#This Row],[mark_spent]]/Marketing[[#This Row],[orders]])</f>
        <v>352408</v>
      </c>
    </row>
    <row r="298" spans="1:13" x14ac:dyDescent="0.25">
      <c r="A298">
        <v>297</v>
      </c>
      <c r="B298" t="s">
        <v>52</v>
      </c>
      <c r="C298" t="s">
        <v>25</v>
      </c>
      <c r="D298" t="s">
        <v>26</v>
      </c>
      <c r="E298">
        <v>39889</v>
      </c>
      <c r="F298">
        <v>182546</v>
      </c>
      <c r="G298">
        <v>279106</v>
      </c>
      <c r="H298">
        <v>426</v>
      </c>
      <c r="I298">
        <v>9</v>
      </c>
      <c r="J298">
        <v>1</v>
      </c>
      <c r="K298">
        <v>3981</v>
      </c>
      <c r="L298" s="1">
        <f>Marketing[[#This Row],[revenue]]/Marketing[[#This Row],[mark_spent]]</f>
        <v>1.426339813547541E-2</v>
      </c>
      <c r="M298" s="2">
        <f>IF(Marketing[[#This Row],[orders]]=0,"",Marketing[[#This Row],[mark_spent]]/Marketing[[#This Row],[orders]])</f>
        <v>279106</v>
      </c>
    </row>
    <row r="299" spans="1:13" x14ac:dyDescent="0.25">
      <c r="A299">
        <v>298</v>
      </c>
      <c r="B299" t="s">
        <v>53</v>
      </c>
      <c r="C299" t="s">
        <v>13</v>
      </c>
      <c r="D299" t="s">
        <v>14</v>
      </c>
      <c r="E299">
        <v>349043</v>
      </c>
      <c r="F299">
        <v>97200</v>
      </c>
      <c r="G299">
        <v>64405</v>
      </c>
      <c r="H299">
        <v>486</v>
      </c>
      <c r="I299">
        <v>11</v>
      </c>
      <c r="J299">
        <v>1</v>
      </c>
      <c r="K299">
        <v>4981</v>
      </c>
      <c r="L299" s="1">
        <f>Marketing[[#This Row],[revenue]]/Marketing[[#This Row],[mark_spent]]</f>
        <v>7.7338715938203559E-2</v>
      </c>
      <c r="M299" s="2">
        <f>IF(Marketing[[#This Row],[orders]]=0,"",Marketing[[#This Row],[mark_spent]]/Marketing[[#This Row],[orders]])</f>
        <v>64405</v>
      </c>
    </row>
    <row r="300" spans="1:13" x14ac:dyDescent="0.25">
      <c r="A300">
        <v>299</v>
      </c>
      <c r="B300" t="s">
        <v>53</v>
      </c>
      <c r="C300" t="s">
        <v>15</v>
      </c>
      <c r="D300" t="s">
        <v>14</v>
      </c>
      <c r="E300">
        <v>348934</v>
      </c>
      <c r="F300">
        <v>132200</v>
      </c>
      <c r="G300">
        <v>866555</v>
      </c>
      <c r="H300">
        <v>661</v>
      </c>
      <c r="I300">
        <v>13</v>
      </c>
      <c r="J300">
        <v>1</v>
      </c>
      <c r="K300">
        <v>5509</v>
      </c>
      <c r="L300" s="1">
        <f>Marketing[[#This Row],[revenue]]/Marketing[[#This Row],[mark_spent]]</f>
        <v>6.3573575826116058E-3</v>
      </c>
      <c r="M300" s="2">
        <f>IF(Marketing[[#This Row],[orders]]=0,"",Marketing[[#This Row],[mark_spent]]/Marketing[[#This Row],[orders]])</f>
        <v>866555</v>
      </c>
    </row>
    <row r="301" spans="1:13" x14ac:dyDescent="0.25">
      <c r="A301">
        <v>300</v>
      </c>
      <c r="B301" t="s">
        <v>53</v>
      </c>
      <c r="C301" t="s">
        <v>16</v>
      </c>
      <c r="D301" t="s">
        <v>17</v>
      </c>
      <c r="E301">
        <v>89459845</v>
      </c>
      <c r="F301">
        <v>11554</v>
      </c>
      <c r="G301">
        <v>352973</v>
      </c>
      <c r="H301">
        <v>187</v>
      </c>
      <c r="I301">
        <v>5</v>
      </c>
      <c r="J301">
        <v>1</v>
      </c>
      <c r="K301">
        <v>8714</v>
      </c>
      <c r="L301" s="1">
        <f>Marketing[[#This Row],[revenue]]/Marketing[[#This Row],[mark_spent]]</f>
        <v>2.46874406824318E-2</v>
      </c>
      <c r="M301" s="2">
        <f>IF(Marketing[[#This Row],[orders]]=0,"",Marketing[[#This Row],[mark_spent]]/Marketing[[#This Row],[orders]])</f>
        <v>352973</v>
      </c>
    </row>
    <row r="302" spans="1:13" x14ac:dyDescent="0.25">
      <c r="A302">
        <v>301</v>
      </c>
      <c r="B302" t="s">
        <v>53</v>
      </c>
      <c r="C302" t="s">
        <v>18</v>
      </c>
      <c r="D302" t="s">
        <v>17</v>
      </c>
      <c r="E302">
        <v>127823</v>
      </c>
      <c r="F302">
        <v>55625</v>
      </c>
      <c r="G302">
        <v>38475</v>
      </c>
      <c r="H302">
        <v>487</v>
      </c>
      <c r="I302">
        <v>1</v>
      </c>
      <c r="J302">
        <v>0</v>
      </c>
      <c r="K302">
        <v>0</v>
      </c>
      <c r="L302" s="1">
        <f>Marketing[[#This Row],[revenue]]/Marketing[[#This Row],[mark_spent]]</f>
        <v>0</v>
      </c>
      <c r="M302" s="2" t="str">
        <f>IF(Marketing[[#This Row],[orders]]=0,"",Marketing[[#This Row],[mark_spent]]/Marketing[[#This Row],[orders]])</f>
        <v/>
      </c>
    </row>
    <row r="303" spans="1:13" x14ac:dyDescent="0.25">
      <c r="A303">
        <v>302</v>
      </c>
      <c r="B303" t="s">
        <v>53</v>
      </c>
      <c r="C303" t="s">
        <v>19</v>
      </c>
      <c r="D303" t="s">
        <v>1</v>
      </c>
      <c r="E303">
        <v>10934</v>
      </c>
      <c r="F303">
        <v>129025</v>
      </c>
      <c r="G303">
        <v>989277</v>
      </c>
      <c r="H303">
        <v>909</v>
      </c>
      <c r="I303">
        <v>21</v>
      </c>
      <c r="J303">
        <v>5</v>
      </c>
      <c r="K303">
        <v>37450</v>
      </c>
      <c r="L303" s="1">
        <f>Marketing[[#This Row],[revenue]]/Marketing[[#This Row],[mark_spent]]</f>
        <v>3.7855929128039971E-2</v>
      </c>
      <c r="M303" s="2">
        <f>IF(Marketing[[#This Row],[orders]]=0,"",Marketing[[#This Row],[mark_spent]]/Marketing[[#This Row],[orders]])</f>
        <v>197855.4</v>
      </c>
    </row>
    <row r="304" spans="1:13" x14ac:dyDescent="0.25">
      <c r="A304">
        <v>303</v>
      </c>
      <c r="B304" t="s">
        <v>53</v>
      </c>
      <c r="C304" t="s">
        <v>20</v>
      </c>
      <c r="D304" t="s">
        <v>14</v>
      </c>
      <c r="E304">
        <v>9034945</v>
      </c>
      <c r="F304">
        <v>63566</v>
      </c>
      <c r="G304">
        <v>495074</v>
      </c>
      <c r="H304">
        <v>546</v>
      </c>
      <c r="I304">
        <v>12</v>
      </c>
      <c r="J304">
        <v>1</v>
      </c>
      <c r="K304">
        <v>5981</v>
      </c>
      <c r="L304" s="1">
        <f>Marketing[[#This Row],[revenue]]/Marketing[[#This Row],[mark_spent]]</f>
        <v>1.2081022231020009E-2</v>
      </c>
      <c r="M304" s="2">
        <f>IF(Marketing[[#This Row],[orders]]=0,"",Marketing[[#This Row],[mark_spent]]/Marketing[[#This Row],[orders]])</f>
        <v>495074</v>
      </c>
    </row>
    <row r="305" spans="1:13" x14ac:dyDescent="0.25">
      <c r="A305">
        <v>304</v>
      </c>
      <c r="B305" t="s">
        <v>53</v>
      </c>
      <c r="C305" t="s">
        <v>21</v>
      </c>
      <c r="D305" t="s">
        <v>14</v>
      </c>
      <c r="E305">
        <v>983498</v>
      </c>
      <c r="F305">
        <v>775780</v>
      </c>
      <c r="G305">
        <v>76075</v>
      </c>
      <c r="H305">
        <v>1024</v>
      </c>
      <c r="I305">
        <v>4</v>
      </c>
      <c r="J305">
        <v>0</v>
      </c>
      <c r="K305">
        <v>0</v>
      </c>
      <c r="L305" s="1">
        <f>Marketing[[#This Row],[revenue]]/Marketing[[#This Row],[mark_spent]]</f>
        <v>0</v>
      </c>
      <c r="M305" s="2" t="str">
        <f>IF(Marketing[[#This Row],[orders]]=0,"",Marketing[[#This Row],[mark_spent]]/Marketing[[#This Row],[orders]])</f>
        <v/>
      </c>
    </row>
    <row r="306" spans="1:13" x14ac:dyDescent="0.25">
      <c r="A306">
        <v>305</v>
      </c>
      <c r="B306" t="s">
        <v>53</v>
      </c>
      <c r="C306" t="s">
        <v>22</v>
      </c>
      <c r="D306" t="s">
        <v>14</v>
      </c>
      <c r="E306">
        <v>4387490</v>
      </c>
      <c r="F306">
        <v>1933</v>
      </c>
      <c r="G306">
        <v>22481</v>
      </c>
      <c r="H306">
        <v>58</v>
      </c>
      <c r="I306">
        <v>0</v>
      </c>
      <c r="J306">
        <v>0</v>
      </c>
      <c r="K306">
        <v>0</v>
      </c>
      <c r="L306" s="1">
        <f>Marketing[[#This Row],[revenue]]/Marketing[[#This Row],[mark_spent]]</f>
        <v>0</v>
      </c>
      <c r="M306" s="2" t="str">
        <f>IF(Marketing[[#This Row],[orders]]=0,"",Marketing[[#This Row],[mark_spent]]/Marketing[[#This Row],[orders]])</f>
        <v/>
      </c>
    </row>
    <row r="307" spans="1:13" x14ac:dyDescent="0.25">
      <c r="A307">
        <v>306</v>
      </c>
      <c r="B307" t="s">
        <v>53</v>
      </c>
      <c r="C307" t="s">
        <v>23</v>
      </c>
      <c r="D307" t="s">
        <v>14</v>
      </c>
      <c r="E307">
        <v>544756</v>
      </c>
      <c r="F307">
        <v>25840</v>
      </c>
      <c r="G307">
        <v>68448</v>
      </c>
      <c r="H307">
        <v>248</v>
      </c>
      <c r="I307">
        <v>5</v>
      </c>
      <c r="J307">
        <v>1</v>
      </c>
      <c r="K307">
        <v>1491</v>
      </c>
      <c r="L307" s="1">
        <f>Marketing[[#This Row],[revenue]]/Marketing[[#This Row],[mark_spent]]</f>
        <v>2.1782959326788219E-2</v>
      </c>
      <c r="M307" s="2">
        <f>IF(Marketing[[#This Row],[orders]]=0,"",Marketing[[#This Row],[mark_spent]]/Marketing[[#This Row],[orders]])</f>
        <v>68448</v>
      </c>
    </row>
    <row r="308" spans="1:13" x14ac:dyDescent="0.25">
      <c r="A308">
        <v>307</v>
      </c>
      <c r="B308" t="s">
        <v>53</v>
      </c>
      <c r="C308" t="s">
        <v>24</v>
      </c>
      <c r="D308" t="s">
        <v>1</v>
      </c>
      <c r="E308">
        <v>374754</v>
      </c>
      <c r="F308">
        <v>94058</v>
      </c>
      <c r="G308">
        <v>484565</v>
      </c>
      <c r="H308">
        <v>594</v>
      </c>
      <c r="I308">
        <v>12</v>
      </c>
      <c r="J308">
        <v>1</v>
      </c>
      <c r="K308">
        <v>5008</v>
      </c>
      <c r="L308" s="1">
        <f>Marketing[[#This Row],[revenue]]/Marketing[[#This Row],[mark_spent]]</f>
        <v>1.0335042770319771E-2</v>
      </c>
      <c r="M308" s="2">
        <f>IF(Marketing[[#This Row],[orders]]=0,"",Marketing[[#This Row],[mark_spent]]/Marketing[[#This Row],[orders]])</f>
        <v>484565</v>
      </c>
    </row>
    <row r="309" spans="1:13" x14ac:dyDescent="0.25">
      <c r="A309">
        <v>308</v>
      </c>
      <c r="B309" t="s">
        <v>53</v>
      </c>
      <c r="C309" t="s">
        <v>25</v>
      </c>
      <c r="D309" t="s">
        <v>26</v>
      </c>
      <c r="E309">
        <v>39889</v>
      </c>
      <c r="F309">
        <v>8490000</v>
      </c>
      <c r="G309">
        <v>682262</v>
      </c>
      <c r="H309">
        <v>849</v>
      </c>
      <c r="I309">
        <v>18</v>
      </c>
      <c r="J309">
        <v>2</v>
      </c>
      <c r="K309">
        <v>7030</v>
      </c>
      <c r="L309" s="1">
        <f>Marketing[[#This Row],[revenue]]/Marketing[[#This Row],[mark_spent]]</f>
        <v>1.0303959475978437E-2</v>
      </c>
      <c r="M309" s="2">
        <f>IF(Marketing[[#This Row],[orders]]=0,"",Marketing[[#This Row],[mark_spent]]/Marketing[[#This Row],[orders]])</f>
        <v>341131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C4E61B-EC2C-42D5-BD74-8848583D5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Serpanou</cp:lastModifiedBy>
  <dcterms:created xsi:type="dcterms:W3CDTF">2026-01-18T22:05:00Z</dcterms:created>
  <dcterms:modified xsi:type="dcterms:W3CDTF">2026-01-26T17:37:06Z</dcterms:modified>
</cp:coreProperties>
</file>